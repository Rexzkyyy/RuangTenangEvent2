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C1A4FBF-662B-46D5-9BC7-E6A1961E4393}" xr6:coauthVersionLast="47" xr6:coauthVersionMax="47" xr10:uidLastSave="{00000000-0000-0000-0000-000000000000}"/>
  <bookViews>
    <workbookView xWindow="-120" yWindow="-120" windowWidth="20730" windowHeight="11040" activeTab="3" xr2:uid="{DB6908C6-F36F-474A-8845-38E7C10E9CB2}"/>
  </bookViews>
  <sheets>
    <sheet name="GOLD" sheetId="3" r:id="rId1"/>
    <sheet name="SILVER" sheetId="4" r:id="rId2"/>
    <sheet name="REGULER" sheetId="5" r:id="rId3"/>
    <sheet name="REKENING KORAN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2" l="1"/>
  <c r="N1" i="2"/>
  <c r="I2" i="2"/>
  <c r="N2" i="2"/>
  <c r="I3" i="2"/>
  <c r="N3" i="2"/>
  <c r="N4" i="2"/>
  <c r="P1" i="2"/>
  <c r="P2" i="2"/>
  <c r="P3" i="2"/>
  <c r="Q3" i="2"/>
  <c r="Q1" i="2"/>
  <c r="Q4" i="2"/>
  <c r="G1" i="2"/>
  <c r="E2" i="2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23" i="3"/>
  <c r="F121" i="3"/>
  <c r="G121" i="3"/>
  <c r="F122" i="3"/>
  <c r="G122" i="3"/>
  <c r="G123" i="3"/>
  <c r="F124" i="3"/>
  <c r="G124" i="3"/>
  <c r="F125" i="3"/>
  <c r="G125" i="3"/>
  <c r="F126" i="3"/>
  <c r="G126" i="3"/>
  <c r="F127" i="3"/>
  <c r="G127" i="3"/>
  <c r="O8" i="4"/>
  <c r="P8" i="4"/>
  <c r="O7" i="5"/>
  <c r="P7" i="5"/>
  <c r="M3" i="5"/>
  <c r="O6" i="5"/>
  <c r="P6" i="5"/>
  <c r="P3" i="5"/>
  <c r="O7" i="4"/>
  <c r="P7" i="4"/>
  <c r="O6" i="4"/>
  <c r="P6" i="4"/>
  <c r="P3" i="4"/>
  <c r="L3" i="4"/>
  <c r="K3" i="3"/>
  <c r="N9" i="3"/>
  <c r="O9" i="3"/>
  <c r="N6" i="3"/>
  <c r="O6" i="3"/>
  <c r="O3" i="3"/>
  <c r="D3" i="5"/>
  <c r="F66" i="5"/>
  <c r="G66" i="5"/>
  <c r="F67" i="5"/>
  <c r="G67" i="5"/>
  <c r="F68" i="5"/>
  <c r="G68" i="5"/>
  <c r="F69" i="5"/>
  <c r="G69" i="5"/>
  <c r="F70" i="5"/>
  <c r="G70" i="5"/>
  <c r="F71" i="5"/>
  <c r="G71" i="5"/>
  <c r="F119" i="4"/>
  <c r="F120" i="4"/>
  <c r="F121" i="4"/>
  <c r="G121" i="4"/>
  <c r="G120" i="4"/>
  <c r="G119" i="4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F6" i="5"/>
  <c r="G6" i="5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7" i="4"/>
  <c r="G7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F6" i="4"/>
  <c r="G6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G53" i="4"/>
  <c r="F5" i="4"/>
  <c r="G5" i="4"/>
  <c r="G2" i="4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7" i="3"/>
  <c r="F8" i="3"/>
  <c r="F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D2" i="4"/>
  <c r="D3" i="3"/>
  <c r="G6" i="3"/>
  <c r="G3" i="3"/>
  <c r="J3" i="5"/>
  <c r="J2" i="4"/>
  <c r="I2" i="3"/>
  <c r="G3" i="5"/>
</calcChain>
</file>

<file path=xl/sharedStrings.xml><?xml version="1.0" encoding="utf-8"?>
<sst xmlns="http://schemas.openxmlformats.org/spreadsheetml/2006/main" count="2353" uniqueCount="810">
  <si>
    <t>NO</t>
  </si>
  <si>
    <t>NAMA PENDAFTAR</t>
  </si>
  <si>
    <t>JENIS TIKET</t>
  </si>
  <si>
    <t>JUMLAH TIKET</t>
  </si>
  <si>
    <t>Taty Yanti Nurdin</t>
  </si>
  <si>
    <t>Sitti Isyqzamiyah Assambo</t>
  </si>
  <si>
    <t>Ariani Amongpradja</t>
  </si>
  <si>
    <t>Athifah Rachmani</t>
  </si>
  <si>
    <t>tri nur apriana</t>
  </si>
  <si>
    <t>NIRMAYANI</t>
  </si>
  <si>
    <t>Tirsani Olivia</t>
  </si>
  <si>
    <t>Harni Saputri</t>
  </si>
  <si>
    <t>irma mulia ningsi</t>
  </si>
  <si>
    <t>Intan Dwi Putri</t>
  </si>
  <si>
    <t>Azahra Rezhya Arta Mevia Razak Pedato</t>
  </si>
  <si>
    <t>Sadri Sutrisna</t>
  </si>
  <si>
    <t>Ade Putri</t>
  </si>
  <si>
    <t>Ratna veti</t>
  </si>
  <si>
    <t>Prameswari Anugrah Mustanzier</t>
  </si>
  <si>
    <t>Nurkhalishah Malik</t>
  </si>
  <si>
    <t>Afiyat Rasyid</t>
  </si>
  <si>
    <t>Siti Aminah</t>
  </si>
  <si>
    <t>Wulan yoyeng</t>
  </si>
  <si>
    <t>Asmawati</t>
  </si>
  <si>
    <t>NUR MA'RIFA FAISAL MS</t>
  </si>
  <si>
    <t>Pitriani</t>
  </si>
  <si>
    <t>Fito Pratama</t>
  </si>
  <si>
    <t>Sarti idyana</t>
  </si>
  <si>
    <t>Sri Rahayu</t>
  </si>
  <si>
    <t>Wa Ode Nasrawati</t>
  </si>
  <si>
    <t>Adhelia Safutri</t>
  </si>
  <si>
    <t>Putri Yuliani Jamia</t>
  </si>
  <si>
    <t>Silver</t>
  </si>
  <si>
    <t>GOLD</t>
  </si>
  <si>
    <t>SILVER</t>
  </si>
  <si>
    <t>REGULER</t>
  </si>
  <si>
    <t>Syahranii</t>
  </si>
  <si>
    <t>Sri Agusrawati</t>
  </si>
  <si>
    <t>Nurmiaty Hamzah</t>
  </si>
  <si>
    <t>Wa Ode Ratna Ngkonu</t>
  </si>
  <si>
    <t>Fatma dan H. Ashar</t>
  </si>
  <si>
    <t>Delvys</t>
  </si>
  <si>
    <t>Emy sri Wahyuni</t>
  </si>
  <si>
    <t>Selfi Melianti Alfi</t>
  </si>
  <si>
    <t>Endang Lusyana</t>
  </si>
  <si>
    <t>Harsita juhaeni</t>
  </si>
  <si>
    <t>Rahmawati</t>
  </si>
  <si>
    <t>Ema Ratna putri</t>
  </si>
  <si>
    <t>Nur'idahwati</t>
  </si>
  <si>
    <t>Hardiyanti Kartikasari Gozal Silondae</t>
  </si>
  <si>
    <t>Dealisa Noor Buana</t>
  </si>
  <si>
    <t>Andi fiqhi putri</t>
  </si>
  <si>
    <t>Nurmin</t>
  </si>
  <si>
    <t>Dhevy Taridala</t>
  </si>
  <si>
    <t>Nita mirawati</t>
  </si>
  <si>
    <t>Nur Asri</t>
  </si>
  <si>
    <t>Fenni astria putri r.</t>
  </si>
  <si>
    <t>Desi /sita</t>
  </si>
  <si>
    <t>Hasmiranti</t>
  </si>
  <si>
    <t>Nening Suarni Hatmi</t>
  </si>
  <si>
    <t>Arnila w rahmi</t>
  </si>
  <si>
    <t>Nimah Azizah</t>
  </si>
  <si>
    <t>Asriani arlena</t>
  </si>
  <si>
    <t>Dewi fausia</t>
  </si>
  <si>
    <t>Rina Risqia Sugito</t>
  </si>
  <si>
    <t>Dwi Amelia</t>
  </si>
  <si>
    <t>Desiyanti.Z</t>
  </si>
  <si>
    <t>Neni pratiwi oktavia</t>
  </si>
  <si>
    <t>Rahma Natsir</t>
  </si>
  <si>
    <t>Fitriah</t>
  </si>
  <si>
    <t>Sugiyanti</t>
  </si>
  <si>
    <t>Rey Nilda</t>
  </si>
  <si>
    <t>Mirnawati Firdaus</t>
  </si>
  <si>
    <t>Nur Wulandari</t>
  </si>
  <si>
    <t>Novi Tomagola</t>
  </si>
  <si>
    <t>Erti</t>
  </si>
  <si>
    <t>sitha fahmawaty</t>
  </si>
  <si>
    <t>Yusnaniningsi</t>
  </si>
  <si>
    <t>Norayati</t>
  </si>
  <si>
    <t>Ni'matuz Zuhrah</t>
  </si>
  <si>
    <t>Basri Hamisi</t>
  </si>
  <si>
    <t>Diyan Mabil</t>
  </si>
  <si>
    <t>Hasmia</t>
  </si>
  <si>
    <t>NICHLAH RIFQIYAH</t>
  </si>
  <si>
    <t>Noviana</t>
  </si>
  <si>
    <t>Lena Rahmawati</t>
  </si>
  <si>
    <t>Retno wulandari</t>
  </si>
  <si>
    <t>MULKIAH</t>
  </si>
  <si>
    <t>Indri Asrul</t>
  </si>
  <si>
    <t>Hasniran</t>
  </si>
  <si>
    <t>Nissa Dwi Febrianty</t>
  </si>
  <si>
    <t>wahyuni</t>
  </si>
  <si>
    <t>Sri Damayanti</t>
  </si>
  <si>
    <t>Rasnawati</t>
  </si>
  <si>
    <t>SISKAWATI</t>
  </si>
  <si>
    <t>Utami Rahmadani</t>
  </si>
  <si>
    <t>Mutmainna</t>
  </si>
  <si>
    <t>Anissa Ningtyastuti</t>
  </si>
  <si>
    <t>Hj. Andi warni. Am</t>
  </si>
  <si>
    <t>Lita Fitrianita</t>
  </si>
  <si>
    <t>Aan wijayanti</t>
  </si>
  <si>
    <t>Sunarti</t>
  </si>
  <si>
    <t>Ayu agustin</t>
  </si>
  <si>
    <t>Caswati</t>
  </si>
  <si>
    <t>Riana kusuma wardani</t>
  </si>
  <si>
    <t>Uniati</t>
  </si>
  <si>
    <t>Helma jaya</t>
  </si>
  <si>
    <t>Sitti Rahmaniar Abubakar</t>
  </si>
  <si>
    <t>Siti Sarina</t>
  </si>
  <si>
    <t>NANA RATNASARI</t>
  </si>
  <si>
    <t>Hasna</t>
  </si>
  <si>
    <t>MARDIANA DJAMAL</t>
  </si>
  <si>
    <t>Nurfatimaha</t>
  </si>
  <si>
    <t>Nela risna</t>
  </si>
  <si>
    <t>Dwi yani</t>
  </si>
  <si>
    <t>Dwi yani lestari</t>
  </si>
  <si>
    <t>Hikma</t>
  </si>
  <si>
    <t>Ratnasari</t>
  </si>
  <si>
    <t>Liliana</t>
  </si>
  <si>
    <t>Rini Fitriani Wq</t>
  </si>
  <si>
    <t>Risnah</t>
  </si>
  <si>
    <t>Elviah</t>
  </si>
  <si>
    <t>Ariyati Ekakumala sari</t>
  </si>
  <si>
    <t>Nirmayanti</t>
  </si>
  <si>
    <t>Soehartati</t>
  </si>
  <si>
    <t>Eka Meilasari R</t>
  </si>
  <si>
    <t>Aryesma Yesi</t>
  </si>
  <si>
    <t>Wida Ningrum Putri Utomo</t>
  </si>
  <si>
    <t>Dirmawati .A</t>
  </si>
  <si>
    <t>Musfirah H. Baco</t>
  </si>
  <si>
    <t>Sri Endang</t>
  </si>
  <si>
    <t>Fatma Rauf/Fandhy (suami)</t>
  </si>
  <si>
    <t>Yuliani</t>
  </si>
  <si>
    <t>Rahmawati Rahim</t>
  </si>
  <si>
    <t>Cantika Putri</t>
  </si>
  <si>
    <t>Andi Liya</t>
  </si>
  <si>
    <t>Tri Novianti</t>
  </si>
  <si>
    <t>Retno Wulandari</t>
  </si>
  <si>
    <t>Sri yuni syahra</t>
  </si>
  <si>
    <t>Reski Ayuniang Lestari</t>
  </si>
  <si>
    <t>Febi purnasari</t>
  </si>
  <si>
    <t>Nur fadila syukri</t>
  </si>
  <si>
    <t>Hildayanti</t>
  </si>
  <si>
    <t>Wulan Krisvina samosir</t>
  </si>
  <si>
    <t>Hilda ji angrani suharto</t>
  </si>
  <si>
    <t>Nilasari Fajarwati</t>
  </si>
  <si>
    <t>Nurhayati</t>
  </si>
  <si>
    <t>Dewi Andriani</t>
  </si>
  <si>
    <t>Dewi Sumaryanti</t>
  </si>
  <si>
    <t>Niswatul Hasanah</t>
  </si>
  <si>
    <t>Winda Lestari</t>
  </si>
  <si>
    <t>Intsyana damayanti turusi</t>
  </si>
  <si>
    <t>Riska</t>
  </si>
  <si>
    <t>beby</t>
  </si>
  <si>
    <t>Andraeni</t>
  </si>
  <si>
    <t>INDO TAHIRA</t>
  </si>
  <si>
    <t>Nurul Idhayani</t>
  </si>
  <si>
    <t>Yuli damayanti</t>
  </si>
  <si>
    <t>Rahayu ratnawati</t>
  </si>
  <si>
    <t>Mutiara Pagala</t>
  </si>
  <si>
    <t>Wa Ode Sari Amalia</t>
  </si>
  <si>
    <t>Putri Diya Ulhaq</t>
  </si>
  <si>
    <t>Rosanti</t>
  </si>
  <si>
    <t>Sri rahmawati</t>
  </si>
  <si>
    <t>Jumartin</t>
  </si>
  <si>
    <t>SARTINA</t>
  </si>
  <si>
    <t>Riski Ayu Dwi Lestari</t>
  </si>
  <si>
    <t>Fina</t>
  </si>
  <si>
    <t>Nursafitri Anhufi</t>
  </si>
  <si>
    <t>Syarifah alwia</t>
  </si>
  <si>
    <t>Ni Made Budiawati,S.Pd</t>
  </si>
  <si>
    <t>Nurindah</t>
  </si>
  <si>
    <t>Rahmayanti Dahlan</t>
  </si>
  <si>
    <t>Ika</t>
  </si>
  <si>
    <t>Nur Nasyiah Thul Aisyia</t>
  </si>
  <si>
    <t>Bambang setiawan</t>
  </si>
  <si>
    <t>Jesika Resky Permana Andastuti</t>
  </si>
  <si>
    <t>Dwi Ufi Febriansih</t>
  </si>
  <si>
    <t>Elmawati</t>
  </si>
  <si>
    <t>Andi Nurhayati</t>
  </si>
  <si>
    <t>Sevtimas</t>
  </si>
  <si>
    <t>Erlin</t>
  </si>
  <si>
    <t>Nirmalasari</t>
  </si>
  <si>
    <t>Anisa amelia saputri</t>
  </si>
  <si>
    <t>Dwi Yusrianti Yunus</t>
  </si>
  <si>
    <t>Hernawati, AMKG</t>
  </si>
  <si>
    <t>Harjun Hamzah</t>
  </si>
  <si>
    <t>Neny Andriyani dan Sunarty kiki</t>
  </si>
  <si>
    <t>Yurida</t>
  </si>
  <si>
    <t>Rahma Nastir</t>
  </si>
  <si>
    <t>Suci Rega Yasa</t>
  </si>
  <si>
    <t>wa ode helmina</t>
  </si>
  <si>
    <t>BU INNE MPK</t>
  </si>
  <si>
    <t>Siti rohana</t>
  </si>
  <si>
    <t>Sofiana</t>
  </si>
  <si>
    <t>Armawati</t>
  </si>
  <si>
    <t>sulheryadi</t>
  </si>
  <si>
    <t>Desti rianti</t>
  </si>
  <si>
    <t>Minsarwati</t>
  </si>
  <si>
    <t>Nur Fitria A</t>
  </si>
  <si>
    <t>Sisca Ratnasari</t>
  </si>
  <si>
    <t>Mustika Siska Sagita</t>
  </si>
  <si>
    <t>Anik Ummu Ghazy</t>
  </si>
  <si>
    <t>gold</t>
  </si>
  <si>
    <t>YuniHasrim</t>
  </si>
  <si>
    <t>Hasriani</t>
  </si>
  <si>
    <t>Hj. Nurhidayah dan Reni Neswaty</t>
  </si>
  <si>
    <t>Anita</t>
  </si>
  <si>
    <t>Aprilia Danar</t>
  </si>
  <si>
    <t>Iin sri rahayu</t>
  </si>
  <si>
    <t>Riska mariadi</t>
  </si>
  <si>
    <t>Desya elsa manora</t>
  </si>
  <si>
    <t>Isfan suryanto</t>
  </si>
  <si>
    <t>Annisa Juliani</t>
  </si>
  <si>
    <t>RIAMITASARI</t>
  </si>
  <si>
    <t>Suhartina</t>
  </si>
  <si>
    <t>Fitri marselina</t>
  </si>
  <si>
    <t>Nursopia</t>
  </si>
  <si>
    <t>Ira Novianti</t>
  </si>
  <si>
    <t>Hayani</t>
  </si>
  <si>
    <t>Lisnawati</t>
  </si>
  <si>
    <t>Kahar wali</t>
  </si>
  <si>
    <t>Harmila wati</t>
  </si>
  <si>
    <t>Debby Aulia</t>
  </si>
  <si>
    <t>ASRAH</t>
  </si>
  <si>
    <t>andi reskiamalia</t>
  </si>
  <si>
    <t>Andi Eka</t>
  </si>
  <si>
    <t>Anastasya lesse</t>
  </si>
  <si>
    <t>Kurniawati</t>
  </si>
  <si>
    <t>MARHADIA</t>
  </si>
  <si>
    <t>Wa Ode Maimuna</t>
  </si>
  <si>
    <t>Fitriani</t>
  </si>
  <si>
    <t>Ully Kholipa Syaiful &amp; Julianti (dua org)</t>
  </si>
  <si>
    <t>Turtiyasih</t>
  </si>
  <si>
    <t>BU MAWAR UNTUK BI</t>
  </si>
  <si>
    <t>Cici Aisyah</t>
  </si>
  <si>
    <t>Cece Rianti Wahab</t>
  </si>
  <si>
    <t>Muthmainnah Akib</t>
  </si>
  <si>
    <t>Dwi Ratnadi</t>
  </si>
  <si>
    <t>Nurbayani Muh.Nasir.R</t>
  </si>
  <si>
    <t>Alvi novita sari</t>
  </si>
  <si>
    <t>Nur Amalia</t>
  </si>
  <si>
    <t>Hawar Nidawati</t>
  </si>
  <si>
    <t>Ika Mekahsari</t>
  </si>
  <si>
    <t>Wanda Putriyanti. N</t>
  </si>
  <si>
    <t>Citra Burhan</t>
  </si>
  <si>
    <t>Ulfayani hakim</t>
  </si>
  <si>
    <t>Resky Wahyungsih</t>
  </si>
  <si>
    <t>Sabaruddin</t>
  </si>
  <si>
    <t>Kamria</t>
  </si>
  <si>
    <t>Yunita sari</t>
  </si>
  <si>
    <t>Kasfinawati</t>
  </si>
  <si>
    <t>Harnisa</t>
  </si>
  <si>
    <t>TITI YULIANI</t>
  </si>
  <si>
    <t>HASNIAH</t>
  </si>
  <si>
    <t>Darliana</t>
  </si>
  <si>
    <t>Ulfiana Ulfa</t>
  </si>
  <si>
    <t>SITTI FATIMAH SYARIFUDDIN</t>
  </si>
  <si>
    <t>Alriyani Hamzah</t>
  </si>
  <si>
    <t>Jurastiwi</t>
  </si>
  <si>
    <t>Rizky amalia</t>
  </si>
  <si>
    <t>Roslinda Laiya</t>
  </si>
  <si>
    <t>Anton Borneo</t>
  </si>
  <si>
    <t>Nurlina Nurdin</t>
  </si>
  <si>
    <t>Iin Arivanie</t>
  </si>
  <si>
    <t>Rahma wati</t>
  </si>
  <si>
    <t>Yulinda Mustika Dewi</t>
  </si>
  <si>
    <t>Risnawati Syarif</t>
  </si>
  <si>
    <t>Arlinawati</t>
  </si>
  <si>
    <t>Yoshinta Anggi Prastiwi</t>
  </si>
  <si>
    <t>St aminah</t>
  </si>
  <si>
    <t>Justika</t>
  </si>
  <si>
    <t>Alfitri Rahim</t>
  </si>
  <si>
    <t>Kiky munirah</t>
  </si>
  <si>
    <t>Alfitri rahim</t>
  </si>
  <si>
    <t>Reny Agustin</t>
  </si>
  <si>
    <t>Dila Efendi</t>
  </si>
  <si>
    <t>Asrida Aryani Asahir</t>
  </si>
  <si>
    <t>Mega Sri Lestari</t>
  </si>
  <si>
    <t>Sucy Lestari</t>
  </si>
  <si>
    <t>Nurlyn Yunita</t>
  </si>
  <si>
    <t>Iis Hasmawa</t>
  </si>
  <si>
    <t>Ika septiani suwito</t>
  </si>
  <si>
    <t>Fajriani hafied</t>
  </si>
  <si>
    <t>Sri yeni</t>
  </si>
  <si>
    <t>Sindy pusmitha</t>
  </si>
  <si>
    <t>Sajerawati</t>
  </si>
  <si>
    <t>Nina Desty aspipariana Aksa</t>
  </si>
  <si>
    <t>No</t>
  </si>
  <si>
    <t>Nama</t>
  </si>
  <si>
    <t>Harga</t>
  </si>
  <si>
    <t>Total Harga</t>
  </si>
  <si>
    <t>Keterangan</t>
  </si>
  <si>
    <t>Murni Ratna</t>
  </si>
  <si>
    <t>Lin Nurnaningsih</t>
  </si>
  <si>
    <t>TOTAL HARGA</t>
  </si>
  <si>
    <t>Intsyana Damayanati Turusi</t>
  </si>
  <si>
    <t>Kartini</t>
  </si>
  <si>
    <t xml:space="preserve">JUMLAH </t>
  </si>
  <si>
    <t xml:space="preserve">Jenis </t>
  </si>
  <si>
    <t xml:space="preserve">Jumlah </t>
  </si>
  <si>
    <t>Nurjannah hamid</t>
  </si>
  <si>
    <t>Yuliana Mansyur</t>
  </si>
  <si>
    <t>Dwi Pratiwi S. Husba</t>
  </si>
  <si>
    <t>Yeni Rosnaeini</t>
  </si>
  <si>
    <t>Risma ernita</t>
  </si>
  <si>
    <t>Yusnita Nasution</t>
  </si>
  <si>
    <t>Nur aisyah</t>
  </si>
  <si>
    <t>IRA PURNAMASARI</t>
  </si>
  <si>
    <t>BU LILI</t>
  </si>
  <si>
    <t>reguler</t>
  </si>
  <si>
    <t>WD Asrina Nasiru S.Pi</t>
  </si>
  <si>
    <t>Yunitri wita</t>
  </si>
  <si>
    <t>Sutriani</t>
  </si>
  <si>
    <t>Estiyawati</t>
  </si>
  <si>
    <t>Andi Annisa Dwi Wahyuni</t>
  </si>
  <si>
    <t>Iis Rahima. J</t>
  </si>
  <si>
    <t>DESTI HARCIDAR</t>
  </si>
  <si>
    <t>Nur Fitri Rafiah M</t>
  </si>
  <si>
    <t>Anis Istuning rahayu S.Kep. Ns</t>
  </si>
  <si>
    <t>Misdal</t>
  </si>
  <si>
    <t>Nur Afni Liambo</t>
  </si>
  <si>
    <t>tiket offline/keep</t>
  </si>
  <si>
    <t>BU MAWAR UNTUK NOTARIS</t>
  </si>
  <si>
    <t>UST RIWANG</t>
  </si>
  <si>
    <t>FREE</t>
  </si>
  <si>
    <t xml:space="preserve">TOTAL </t>
  </si>
  <si>
    <t>BU YULI AL KHANSA</t>
  </si>
  <si>
    <t>BU INNE</t>
  </si>
  <si>
    <t>Cancel</t>
  </si>
  <si>
    <t>dikembalikan 19 tiket</t>
  </si>
  <si>
    <t>30 dikembalikan</t>
  </si>
  <si>
    <t>Dewi Purna Putri - Novi Purna Dewi - Aisyahtul Aisyirah</t>
  </si>
  <si>
    <t>Hawaera</t>
  </si>
  <si>
    <t>Muchrim Zulfikar</t>
  </si>
  <si>
    <t>Hasneli</t>
  </si>
  <si>
    <t>Nuurul A'yuni</t>
  </si>
  <si>
    <t>Nur Intan Mayasari</t>
  </si>
  <si>
    <t>Harsinawati Hamzah Dharma</t>
  </si>
  <si>
    <t>Sri Wahyuni Yusuf</t>
  </si>
  <si>
    <t>Adelfin Rahayu</t>
  </si>
  <si>
    <t>Misnawati</t>
  </si>
  <si>
    <t>Titi Haryani</t>
  </si>
  <si>
    <t>Yeyen,Lin, Tuti</t>
  </si>
  <si>
    <t>Silvirani Ade</t>
  </si>
  <si>
    <t>Jusmaidah</t>
  </si>
  <si>
    <t>Rahmatul Munawwarah</t>
  </si>
  <si>
    <t>Alvina Damayanti Rahman</t>
  </si>
  <si>
    <t>Erni</t>
  </si>
  <si>
    <t>Risma</t>
  </si>
  <si>
    <t>Alyka dwi novandira masyanda eka wulandari partiwi</t>
  </si>
  <si>
    <t>Yunita</t>
  </si>
  <si>
    <t>Serlina Ristasari</t>
  </si>
  <si>
    <t>Rostitiawati</t>
  </si>
  <si>
    <t>Irma Safitri</t>
  </si>
  <si>
    <t>nur fitri rasyidah</t>
  </si>
  <si>
    <t>Erni Yatin</t>
  </si>
  <si>
    <t>Elma Prasetyaningsih, SKM</t>
  </si>
  <si>
    <t>Dhelvi Mustika</t>
  </si>
  <si>
    <t>9 Agustus</t>
  </si>
  <si>
    <t>Jayanti Mayasari</t>
  </si>
  <si>
    <t>wandadewisari</t>
  </si>
  <si>
    <t>sakila mointi</t>
  </si>
  <si>
    <t>arlinawati</t>
  </si>
  <si>
    <t>pipit febriani</t>
  </si>
  <si>
    <t>dewi kurnia</t>
  </si>
  <si>
    <t>selva evi ratningsih</t>
  </si>
  <si>
    <t>zulfaidah saputri</t>
  </si>
  <si>
    <t>erlyza dwi oktary</t>
  </si>
  <si>
    <t>rostitiawati</t>
  </si>
  <si>
    <t>eryn sasmita sailan</t>
  </si>
  <si>
    <t>adelfin rahayu</t>
  </si>
  <si>
    <t>fliptech</t>
  </si>
  <si>
    <t>nur intan mayasari</t>
  </si>
  <si>
    <t>serlinaristasari</t>
  </si>
  <si>
    <t>irma safitri</t>
  </si>
  <si>
    <t>yuni andini</t>
  </si>
  <si>
    <t>sri wahyuni yusuf</t>
  </si>
  <si>
    <t>nur fitri rasidah</t>
  </si>
  <si>
    <t>8 Agustus</t>
  </si>
  <si>
    <t>Achmad Said Efendy</t>
  </si>
  <si>
    <t>hawaera</t>
  </si>
  <si>
    <t>elma prasetyaningsih</t>
  </si>
  <si>
    <t>misnawati</t>
  </si>
  <si>
    <t>titi Haryani ST</t>
  </si>
  <si>
    <t>Alyka dwi Novandira</t>
  </si>
  <si>
    <t>Alfina Damayanti</t>
  </si>
  <si>
    <t>jusmaidah</t>
  </si>
  <si>
    <t>risma</t>
  </si>
  <si>
    <t>herawaty</t>
  </si>
  <si>
    <t>erni ode</t>
  </si>
  <si>
    <t>dhelvi mustika</t>
  </si>
  <si>
    <t>7 Agustus</t>
  </si>
  <si>
    <t>wd ratna sartika dewi</t>
  </si>
  <si>
    <t>hasneli</t>
  </si>
  <si>
    <t>Nur fitri rafiah m</t>
  </si>
  <si>
    <t>Anis Istuning Rahayu</t>
  </si>
  <si>
    <t>Destiharcidar</t>
  </si>
  <si>
    <t>Andi Annisa Dwi Wahy</t>
  </si>
  <si>
    <t>sutiani</t>
  </si>
  <si>
    <t>estiyawati</t>
  </si>
  <si>
    <t>Yunitri Wita Mukhtar</t>
  </si>
  <si>
    <t>Data tambahan</t>
  </si>
  <si>
    <t>Rahmi Fauziah</t>
  </si>
  <si>
    <t>Nominal</t>
  </si>
  <si>
    <t>Keperluan</t>
  </si>
  <si>
    <t>Beli Buku Dr. Aisah</t>
  </si>
  <si>
    <t>tanggal</t>
  </si>
  <si>
    <t>7 Agustus 2026</t>
  </si>
  <si>
    <t>Wd Asrina Nasiru</t>
  </si>
  <si>
    <t>6 Agustus</t>
  </si>
  <si>
    <t>Dwi Pratiwi Shusba</t>
  </si>
  <si>
    <t>Yeni Rosnaeni</t>
  </si>
  <si>
    <t>risma ernita</t>
  </si>
  <si>
    <t>nur aisyah</t>
  </si>
  <si>
    <t>ira purnamasari</t>
  </si>
  <si>
    <t>iin nurnaningsih</t>
  </si>
  <si>
    <t>Nina Desty aspiraria</t>
  </si>
  <si>
    <t>sindy pusmitha</t>
  </si>
  <si>
    <t>Nurjannah Hamid</t>
  </si>
  <si>
    <t>Abid Alwana Halim</t>
  </si>
  <si>
    <t>sri yeni</t>
  </si>
  <si>
    <t>Fajriani Hafied</t>
  </si>
  <si>
    <t>6 Agustus 2026</t>
  </si>
  <si>
    <t>sponsor</t>
  </si>
  <si>
    <t>IIS Hasmawa K</t>
  </si>
  <si>
    <t>Suci Lestari</t>
  </si>
  <si>
    <t>Rohimah</t>
  </si>
  <si>
    <t>Dewi Shanita</t>
  </si>
  <si>
    <t>Maman Firmansyah Efe</t>
  </si>
  <si>
    <t>Audrey Deni Alif</t>
  </si>
  <si>
    <t>Rezky Munirah Kamaruddin</t>
  </si>
  <si>
    <t>5 Agustus</t>
  </si>
  <si>
    <t>siti Aminah</t>
  </si>
  <si>
    <t>Indah Arivanie Arief</t>
  </si>
  <si>
    <t>nurlina nurdin</t>
  </si>
  <si>
    <t>jusrastiwi</t>
  </si>
  <si>
    <t>Siti Fatimah Syarif</t>
  </si>
  <si>
    <t>Fliptch</t>
  </si>
  <si>
    <t>hasniah</t>
  </si>
  <si>
    <t>Murni Ratnasari Ala</t>
  </si>
  <si>
    <t>Andi Arif Walhidayat</t>
  </si>
  <si>
    <t>Titi Yuliani</t>
  </si>
  <si>
    <t>kasfinawati</t>
  </si>
  <si>
    <t>Neny Andryani</t>
  </si>
  <si>
    <t>sabaruddin</t>
  </si>
  <si>
    <t>kamria</t>
  </si>
  <si>
    <t>yendra latorumo</t>
  </si>
  <si>
    <t>ulfayani hakim</t>
  </si>
  <si>
    <t>Siti Marlia S</t>
  </si>
  <si>
    <t>Nur Ramadani</t>
  </si>
  <si>
    <t>ika mekahsari</t>
  </si>
  <si>
    <t>wanda putriyani nur</t>
  </si>
  <si>
    <t>Andri Hardriya</t>
  </si>
  <si>
    <t>4 Agustus</t>
  </si>
  <si>
    <t>Rachmad Muqtadir</t>
  </si>
  <si>
    <t>Sri Rahmayanti</t>
  </si>
  <si>
    <t>Fliptech</t>
  </si>
  <si>
    <t>Mutmainnah Akib</t>
  </si>
  <si>
    <t>Ully Kholipa Syaiful</t>
  </si>
  <si>
    <t>Waode Maimuna</t>
  </si>
  <si>
    <t>Dedi Saputra</t>
  </si>
  <si>
    <t>Akbar</t>
  </si>
  <si>
    <t>Andi Eka Anugerah</t>
  </si>
  <si>
    <t>Niarni</t>
  </si>
  <si>
    <t>Andi Reski Amalia</t>
  </si>
  <si>
    <t>Amir</t>
  </si>
  <si>
    <t>Fitriani dan Hartati manggu</t>
  </si>
  <si>
    <t>Asrah Sanusi</t>
  </si>
  <si>
    <t>Hasria</t>
  </si>
  <si>
    <t>kadek Arya</t>
  </si>
  <si>
    <t>ira Novianti</t>
  </si>
  <si>
    <t>mardiana Jamian</t>
  </si>
  <si>
    <t>Nurbayani Muh. Nasir</t>
  </si>
  <si>
    <t>Iin Sri Rahayu</t>
  </si>
  <si>
    <t>Marzelina Sapitri</t>
  </si>
  <si>
    <t>3 Agustus</t>
  </si>
  <si>
    <t>Desya elsamaora</t>
  </si>
  <si>
    <t>Riska Mariadi</t>
  </si>
  <si>
    <t>Aprilia Danar Ramadani</t>
  </si>
  <si>
    <t>40.000 upgrade</t>
  </si>
  <si>
    <t>?</t>
  </si>
  <si>
    <t>Nurhidayah Rafie</t>
  </si>
  <si>
    <t>yuni</t>
  </si>
  <si>
    <t>arie asfiani</t>
  </si>
  <si>
    <t>hasriani</t>
  </si>
  <si>
    <t>mustika siska sagita</t>
  </si>
  <si>
    <t>Siska Ratna Sari Sal</t>
  </si>
  <si>
    <t>Eko Budi Sulastono</t>
  </si>
  <si>
    <t>shopee</t>
  </si>
  <si>
    <t>Wa ode Helmina</t>
  </si>
  <si>
    <t>Suci Rega yasa</t>
  </si>
  <si>
    <t>Rida Astriya</t>
  </si>
  <si>
    <t>Visionet Internasional</t>
  </si>
  <si>
    <t>Yuli Damayanti</t>
  </si>
  <si>
    <t>Wa Ode Erlin Zahriah Azn</t>
  </si>
  <si>
    <t>Hernawati</t>
  </si>
  <si>
    <t>Jesika Permana</t>
  </si>
  <si>
    <t>Nur Nasyiah Thul Ais</t>
  </si>
  <si>
    <t>FLIPTECH</t>
  </si>
  <si>
    <t>NI MADE BUDIAWATI</t>
  </si>
  <si>
    <t xml:space="preserve">NUR INDAH </t>
  </si>
  <si>
    <t>SARIPA ALWIA</t>
  </si>
  <si>
    <t>RAHMAYANTI DAHLAN</t>
  </si>
  <si>
    <t>FINA</t>
  </si>
  <si>
    <t>INDARWATI AMNUR</t>
  </si>
  <si>
    <t>SRI RAHMAWATI</t>
  </si>
  <si>
    <t>JUMARTIN QQ ADIBASYAKI</t>
  </si>
  <si>
    <t>MURSAN YUSUF PRATAMA</t>
  </si>
  <si>
    <t>RAHAYU RATNAWATI</t>
  </si>
  <si>
    <t>ROSTIKA</t>
  </si>
  <si>
    <t>YULI DAMAYANTI</t>
  </si>
  <si>
    <t>NURUL IHDAYANI</t>
  </si>
  <si>
    <t>WAODE SARI AMALIA</t>
  </si>
  <si>
    <t>MEGA ANDRAENI</t>
  </si>
  <si>
    <t>BEBY HMS</t>
  </si>
  <si>
    <t>INTSYANA DAMAYANTI</t>
  </si>
  <si>
    <t>RISKI AYU DWI LESTARI</t>
  </si>
  <si>
    <t>WINDA LESTARI</t>
  </si>
  <si>
    <t>SAFRIL</t>
  </si>
  <si>
    <t>Putry Diyah Ulhaq</t>
  </si>
  <si>
    <t>NISWATUN HASANAH</t>
  </si>
  <si>
    <t>DEWI SUMARYANTI KAMALU</t>
  </si>
  <si>
    <t>MADE SEKERTA</t>
  </si>
  <si>
    <t>DEWI ANDRIYANI</t>
  </si>
  <si>
    <t>NURHAYATI</t>
  </si>
  <si>
    <t xml:space="preserve"> NILASARI FAJARWATI</t>
  </si>
  <si>
    <t>HILDA ANGRANI SUHARTO</t>
  </si>
  <si>
    <t>WULAN KRISVINA SAMOS</t>
  </si>
  <si>
    <t>LILIANA</t>
  </si>
  <si>
    <t>2 Agustus</t>
  </si>
  <si>
    <t>RAHMAWATI RAHIM</t>
  </si>
  <si>
    <t>YULIANI</t>
  </si>
  <si>
    <t>SRI ENDANG FAJAR</t>
  </si>
  <si>
    <t>FATMAWATI RAUF</t>
  </si>
  <si>
    <t>MUSFIRAH H. BACO</t>
  </si>
  <si>
    <t>WIDA NINGRUM PUTRI U</t>
  </si>
  <si>
    <t>SOEHARTATI S.PI</t>
  </si>
  <si>
    <t>RISNAH</t>
  </si>
  <si>
    <t>ARMAN</t>
  </si>
  <si>
    <t>RINI FITRIANI</t>
  </si>
  <si>
    <t>ARYESMAYESILBANU</t>
  </si>
  <si>
    <t>MUTMAINNA</t>
  </si>
  <si>
    <t>NELA RISNA GUNANTI</t>
  </si>
  <si>
    <t>NUR FATIMAH</t>
  </si>
  <si>
    <t>IHSANTRI FADLIA SALI</t>
  </si>
  <si>
    <t>HASNA</t>
  </si>
  <si>
    <t>RATNASARI</t>
  </si>
  <si>
    <t>ARYATI EKAKUMALA SARI</t>
  </si>
  <si>
    <t>DR. YUSUF JAYA SAPUTRA</t>
  </si>
  <si>
    <t>SITI RAHMANIAR ABUB</t>
  </si>
  <si>
    <t>MUHAMMAD IRJAL</t>
  </si>
  <si>
    <t>RIANA KUSUMA WARDANI</t>
  </si>
  <si>
    <t>CASWATI</t>
  </si>
  <si>
    <t>PRETY</t>
  </si>
  <si>
    <t>ISMA AHMAD</t>
  </si>
  <si>
    <t>SUNARTI</t>
  </si>
  <si>
    <t>AAN WIJAYANTI</t>
  </si>
  <si>
    <t>LITA FITRIANITA</t>
  </si>
  <si>
    <t>NIRMAYANTI</t>
  </si>
  <si>
    <t>A WARNI A M</t>
  </si>
  <si>
    <t>ANNISA NINGTYASTUTI</t>
  </si>
  <si>
    <t>UTAMI RAHMADANI</t>
  </si>
  <si>
    <t xml:space="preserve">1 AGUSTUS </t>
  </si>
  <si>
    <t>BUDI PRAYUGO</t>
  </si>
  <si>
    <t>RICHA KARUNIA</t>
  </si>
  <si>
    <t>SRI DAMAYANTI</t>
  </si>
  <si>
    <t>WAHYUNI</t>
  </si>
  <si>
    <t>LENA RAHMAWATI</t>
  </si>
  <si>
    <t xml:space="preserve">UPGRADE KE GOLD </t>
  </si>
  <si>
    <t>NICHLA RIFQIYAH</t>
  </si>
  <si>
    <t>NOVIANA SITI NUR</t>
  </si>
  <si>
    <t>HASNIRAN</t>
  </si>
  <si>
    <t>DIYAN MARLUPI</t>
  </si>
  <si>
    <t>NI MATUZZUHRAH</t>
  </si>
  <si>
    <t>NORAYATI</t>
  </si>
  <si>
    <t>YUSNANINGSI S KOM</t>
  </si>
  <si>
    <t>HASMIA</t>
  </si>
  <si>
    <t>A AHMAD RUSYAID AJIS</t>
  </si>
  <si>
    <t>NOVI B. TOMAGOLA</t>
  </si>
  <si>
    <t>ESPAY DEBIT INDONESIA</t>
  </si>
  <si>
    <t>MIRNAWATI FIRDAUS</t>
  </si>
  <si>
    <t>REYNILDA</t>
  </si>
  <si>
    <t>SHOPEE</t>
  </si>
  <si>
    <t>FITRIYA MAS'UD</t>
  </si>
  <si>
    <t>RAHMA NATSIR</t>
  </si>
  <si>
    <t>NENNI PRATIWI OKTAVI</t>
  </si>
  <si>
    <t>MUSDALIFA</t>
  </si>
  <si>
    <t>BASRI HAMISI</t>
  </si>
  <si>
    <t>DWI AMELIA</t>
  </si>
  <si>
    <t>MASHURI RIFAI</t>
  </si>
  <si>
    <t>TRI NOVIANTI</t>
  </si>
  <si>
    <t>DEWI FAUSIA</t>
  </si>
  <si>
    <t>ASRIANI</t>
  </si>
  <si>
    <t>NIMAH AZIZAH</t>
  </si>
  <si>
    <t>ARNILA WATI RAHMI</t>
  </si>
  <si>
    <t>NENING SUARNI HATMI</t>
  </si>
  <si>
    <t>LA HARJOPRAWIRO</t>
  </si>
  <si>
    <t>DESRIANI</t>
  </si>
  <si>
    <t>MUHAMMAD ILHAMSYAM</t>
  </si>
  <si>
    <t>NUR ASRI</t>
  </si>
  <si>
    <t>NITA MIRAWATI</t>
  </si>
  <si>
    <t>DEVI NUR HAIRIYYA</t>
  </si>
  <si>
    <t>DELVYS</t>
  </si>
  <si>
    <t>nurmin</t>
  </si>
  <si>
    <t>FAJAR SETIAWAN BUSRA</t>
  </si>
  <si>
    <t>HARDIYANTI KARTIKASARI</t>
  </si>
  <si>
    <t>DEALISA NOOR BUANA</t>
  </si>
  <si>
    <t>NUR IDAHWATI</t>
  </si>
  <si>
    <t>EMA RATNA PUTRI</t>
  </si>
  <si>
    <t>RAHMAWATI</t>
  </si>
  <si>
    <t>MUHAMMAD ARIS</t>
  </si>
  <si>
    <t>ENDANG LUSYANA</t>
  </si>
  <si>
    <t>SELVI MELIANTI ALFI</t>
  </si>
  <si>
    <t>31 JULI</t>
  </si>
  <si>
    <t>EMY SRI WAHYUNI</t>
  </si>
  <si>
    <t>2 KALI UPGRADE KE GOLD</t>
  </si>
  <si>
    <t>FATMA</t>
  </si>
  <si>
    <t>MUTIARA SAID</t>
  </si>
  <si>
    <t>NURMIATY HAMZAH</t>
  </si>
  <si>
    <t>SRI AGUSRAWATI</t>
  </si>
  <si>
    <t>SYAH RANI DEWI ASTUTI</t>
  </si>
  <si>
    <t>PUTRI YULIANI JAMIA</t>
  </si>
  <si>
    <t>SRI IRMAYANI</t>
  </si>
  <si>
    <t>INDRIYANI ARIFIN</t>
  </si>
  <si>
    <t>RAISA ANATASYA</t>
  </si>
  <si>
    <t>WA ODE NASRAWATI</t>
  </si>
  <si>
    <t xml:space="preserve">DEDI SAPUTRA </t>
  </si>
  <si>
    <t>SARTI IDYANA</t>
  </si>
  <si>
    <t>FITO PRATAMA</t>
  </si>
  <si>
    <t>PITRIANI</t>
  </si>
  <si>
    <t>JUNAIDI SAMSUDIN</t>
  </si>
  <si>
    <t>AZWAR</t>
  </si>
  <si>
    <t>SRI YUNI SYAHRA</t>
  </si>
  <si>
    <t>RESKI AYUNIANG LESTA</t>
  </si>
  <si>
    <t>RATNA VETI S A NUR</t>
  </si>
  <si>
    <t>PRAMESWARI ANUGRAH M</t>
  </si>
  <si>
    <t>ADE PUTRI</t>
  </si>
  <si>
    <t>SADRISUTRISNA</t>
  </si>
  <si>
    <t>NURKHALISHA MALIK</t>
  </si>
  <si>
    <t>AZAHRA REZHYA ARTA M</t>
  </si>
  <si>
    <t>IRMA MULIA NINGSIH</t>
  </si>
  <si>
    <t>INTAN DWI PUTRI</t>
  </si>
  <si>
    <t xml:space="preserve"> ARINI AMONG PRADJA</t>
  </si>
  <si>
    <t>ATHIFA RAHMANI</t>
  </si>
  <si>
    <t>HARNI SAPUTRI</t>
  </si>
  <si>
    <t>TRI NUR APRIANA</t>
  </si>
  <si>
    <t xml:space="preserve"> TRISANI OLIVIA RANGG</t>
  </si>
  <si>
    <t>NURFITASARI</t>
  </si>
  <si>
    <t>TATY YANTI NURDIN</t>
  </si>
  <si>
    <t>HASLIAN NOVIYANTI</t>
  </si>
  <si>
    <t>SRI WAHYUNI BASOKA</t>
  </si>
  <si>
    <t>MIHAJAR</t>
  </si>
  <si>
    <t>Fajriani</t>
  </si>
  <si>
    <t>KETERANGAN TRANSFERAN</t>
  </si>
  <si>
    <t>TOTAL DANA</t>
  </si>
  <si>
    <t>TANGGAL TRANSAKSI</t>
  </si>
  <si>
    <t>NAMA</t>
  </si>
  <si>
    <t>NOMINAL TRANSFER</t>
  </si>
  <si>
    <t>Dr. Azra / Israqi Khairan</t>
  </si>
  <si>
    <t>FEBI PURNASARI</t>
  </si>
  <si>
    <t>SITTI ISYQZAMIYAH</t>
  </si>
  <si>
    <t>TIRSANI OLIVIA</t>
  </si>
  <si>
    <t>SITI AMINAH</t>
  </si>
  <si>
    <t>WINDO STYA PRAKOSO</t>
  </si>
  <si>
    <t>NUR MA'RIFAL FAISAL</t>
  </si>
  <si>
    <t>ASMAWATI</t>
  </si>
  <si>
    <t>SRI RAHAYU</t>
  </si>
  <si>
    <t>DESI / SITA</t>
  </si>
  <si>
    <t>ERTI</t>
  </si>
  <si>
    <t xml:space="preserve">2 AGUSTUS </t>
  </si>
  <si>
    <t>SALAH REKENING TRANSFER/TRANSFER KE BSI NURTINA</t>
  </si>
  <si>
    <t>HIKMA</t>
  </si>
  <si>
    <t>HASRIANI</t>
  </si>
  <si>
    <t>TAUFIK MALIKI</t>
  </si>
  <si>
    <t>TAUFIK MALIKI DAN ISTRI</t>
  </si>
  <si>
    <t>10 AGUSTUS</t>
  </si>
  <si>
    <t>MEI WULANDARI</t>
  </si>
  <si>
    <t>NURMAYANTI</t>
  </si>
  <si>
    <t>NISMAYANTI</t>
  </si>
  <si>
    <t>WIDYA OKTAVIANA MOKO</t>
  </si>
  <si>
    <t>RIKAR LINA</t>
  </si>
  <si>
    <t>ALFIANTI KUSUMA</t>
  </si>
  <si>
    <t>PERLA DWI SAPHIRA</t>
  </si>
  <si>
    <t>DI FORM MENGISI 1 TIKET SAJA</t>
  </si>
  <si>
    <t>IKA</t>
  </si>
  <si>
    <t>ERLIN</t>
  </si>
  <si>
    <t>yurida</t>
  </si>
  <si>
    <t>ELIYATI</t>
  </si>
  <si>
    <t>ERNAWATI</t>
  </si>
  <si>
    <t>SUWARSIH</t>
  </si>
  <si>
    <t>NORMA YUNITA</t>
  </si>
  <si>
    <t>LAODE MUH ALFIAN</t>
  </si>
  <si>
    <t>WULAN RACTHIA ANDRIA</t>
  </si>
  <si>
    <t>RIKA YANI</t>
  </si>
  <si>
    <t>LILI KOMARIA</t>
  </si>
  <si>
    <t>RABBIS RAHLI</t>
  </si>
  <si>
    <t>MILAWATI</t>
  </si>
  <si>
    <t>SUTRISNA ASWA</t>
  </si>
  <si>
    <t>NURFITRAH HUSEIN</t>
  </si>
  <si>
    <t>MARDIAN</t>
  </si>
  <si>
    <t>11 AGUSTUS</t>
  </si>
  <si>
    <t>MARIANI</t>
  </si>
  <si>
    <t>WAODE RIZKI HANDAYANI</t>
  </si>
  <si>
    <t>RISMON</t>
  </si>
  <si>
    <t>WA ODE HESTI SISKA AYU PRATIWI</t>
  </si>
  <si>
    <t>WAODE RIZKI HANDAYANI UKE</t>
  </si>
  <si>
    <t>NURITA SARI</t>
  </si>
  <si>
    <t>SAMRUD</t>
  </si>
  <si>
    <t>MUH. NAZAR EKA SETIAWAN</t>
  </si>
  <si>
    <t>Riskyawati</t>
  </si>
  <si>
    <t>Alfina damayanti</t>
  </si>
  <si>
    <t>WIDYA MOKODOMPIT</t>
  </si>
  <si>
    <t>Triani Nurul Masyitah</t>
  </si>
  <si>
    <t>dr.muzdatul khairiah,sp.OG</t>
  </si>
  <si>
    <t>SALMAH</t>
  </si>
  <si>
    <t>wadan dewi sari</t>
  </si>
  <si>
    <t>Yunita Warsifah</t>
  </si>
  <si>
    <t>Rahmatul Munawaroh</t>
  </si>
  <si>
    <t>sutriani</t>
  </si>
  <si>
    <t>Dari Dompet Anak Bangsa/gopay</t>
  </si>
  <si>
    <t xml:space="preserve">Yuliana Mansyur </t>
  </si>
  <si>
    <t xml:space="preserve">Nina Desty </t>
  </si>
  <si>
    <t>mega sri lestari</t>
  </si>
  <si>
    <t>sarnita</t>
  </si>
  <si>
    <t>OVO/</t>
  </si>
  <si>
    <t>GUSNAWATI</t>
  </si>
  <si>
    <t>BUKU BU EKA</t>
  </si>
  <si>
    <t>SITI HASNAH</t>
  </si>
  <si>
    <t>NENY SUSANTI</t>
  </si>
  <si>
    <t>INDI ALIAH ANUGRAH</t>
  </si>
  <si>
    <t>TIA PRIANINGSIH</t>
  </si>
  <si>
    <t>MELI MILANINGRUM</t>
  </si>
  <si>
    <t>IRMAWATI</t>
  </si>
  <si>
    <t>NURLAELA</t>
  </si>
  <si>
    <t>ROSMINA TAWULO</t>
  </si>
  <si>
    <t>WIDYA PURNAMA</t>
  </si>
  <si>
    <t>FITRI SURYANI</t>
  </si>
  <si>
    <t>NURASFIDAR</t>
  </si>
  <si>
    <t>WINDA AYU YULIANA</t>
  </si>
  <si>
    <t xml:space="preserve">YESI SURYA NINGSIH </t>
  </si>
  <si>
    <t xml:space="preserve">MAWAR RUSELIA </t>
  </si>
  <si>
    <t>YURIKA SARI</t>
  </si>
  <si>
    <t>SUSIANA</t>
  </si>
  <si>
    <t>HALIJAH</t>
  </si>
  <si>
    <t>Eryn Sasmita</t>
  </si>
  <si>
    <t>susiana</t>
  </si>
  <si>
    <t>yurikasari</t>
  </si>
  <si>
    <t>NURUL FEBRIANA</t>
  </si>
  <si>
    <t>ASNI</t>
  </si>
  <si>
    <t>Ahmad Al Ma'ruf</t>
  </si>
  <si>
    <t>ANDI INDRAWATI</t>
  </si>
  <si>
    <t>IRNA WULANDARI</t>
  </si>
  <si>
    <t>SHELVI T</t>
  </si>
  <si>
    <t>NITA ARIDIB</t>
  </si>
  <si>
    <t xml:space="preserve">EKA FATMAWATI </t>
  </si>
  <si>
    <t xml:space="preserve">RENI SABRINA </t>
  </si>
  <si>
    <t xml:space="preserve">ARNI SUSILAWATI </t>
  </si>
  <si>
    <t>KARTINI</t>
  </si>
  <si>
    <t>DILA EFENDI</t>
  </si>
  <si>
    <t>RAHMA WATI</t>
  </si>
  <si>
    <t>IIN ARIVANIE</t>
  </si>
  <si>
    <t>Nurlina nurdin</t>
  </si>
  <si>
    <t>DARLIANA</t>
  </si>
  <si>
    <t>MURNI RATNA</t>
  </si>
  <si>
    <t>Alvi Novita Sari</t>
  </si>
  <si>
    <t xml:space="preserve">ALVI NOVITA SARI </t>
  </si>
  <si>
    <t>NUR AMALIA</t>
  </si>
  <si>
    <t>IKA MEKAHSARI</t>
  </si>
  <si>
    <t>RESKY WAHYU NINGSIH</t>
  </si>
  <si>
    <t>ulfiana ulfa</t>
  </si>
  <si>
    <t>DWI RATNADI</t>
  </si>
  <si>
    <t>CECE RIANTY WAHAB</t>
  </si>
  <si>
    <t>turtiyasih</t>
  </si>
  <si>
    <t>MAHARDIA</t>
  </si>
  <si>
    <t>ANDI EKA</t>
  </si>
  <si>
    <t>HARMILA WATI</t>
  </si>
  <si>
    <t>KAHAR WALI</t>
  </si>
  <si>
    <t>HAYANI</t>
  </si>
  <si>
    <t>NURSOPIA</t>
  </si>
  <si>
    <t>FITRI MARSELINA</t>
  </si>
  <si>
    <t>SUHARTINA</t>
  </si>
  <si>
    <t>IRFAN SURYANTO</t>
  </si>
  <si>
    <t>ANITA</t>
  </si>
  <si>
    <t>HJ NURHIDAYAH &amp; RENI</t>
  </si>
  <si>
    <t>YUNI HASRIM</t>
  </si>
  <si>
    <t>ANIK UMMU GHAZY</t>
  </si>
  <si>
    <t>Nur Fitria</t>
  </si>
  <si>
    <t>RESTI PUSPITA DEWI</t>
  </si>
  <si>
    <t>MINSARWATI</t>
  </si>
  <si>
    <t>DESTI RIANTI</t>
  </si>
  <si>
    <t>dwi Yusrianti Yunus</t>
  </si>
  <si>
    <t>SITTI NUR AFRIDASARI</t>
  </si>
  <si>
    <t xml:space="preserve">REGULER </t>
  </si>
  <si>
    <t>MARTHA SAMBIRA</t>
  </si>
  <si>
    <t xml:space="preserve">SILVER </t>
  </si>
  <si>
    <t>RAMLIANI</t>
  </si>
  <si>
    <t>NAROTE</t>
  </si>
  <si>
    <t>Notaris 10</t>
  </si>
  <si>
    <t>BI 12</t>
  </si>
  <si>
    <t>CICI KAWAI 5</t>
  </si>
  <si>
    <t>celin 7</t>
  </si>
  <si>
    <t>asia baru 2</t>
  </si>
  <si>
    <t>arhifa 2</t>
  </si>
  <si>
    <t>pokea 2</t>
  </si>
  <si>
    <t>muti 2</t>
  </si>
  <si>
    <t>Zahrah 2</t>
  </si>
  <si>
    <t>fitriah 1</t>
  </si>
  <si>
    <t>Bu Yuliana Al Khansa</t>
  </si>
  <si>
    <t xml:space="preserve">Reguler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</si>
</sst>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42" formatCode="_-&quot;Rp&quot;* #,##0_-;\-&quot;Rp&quot;* #,##0_-;_-&quot;Rp&quot;* &quot;-&quot;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Roboto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34343"/>
      <name val="Roboto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42" fontId="2" fillId="0" borderId="1" xfId="0" applyNumberFormat="1" applyFont="1" applyBorder="1" applyAlignment="1">
      <alignment vertical="center" wrapText="1"/>
    </xf>
    <xf numFmtId="4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/>
    <xf numFmtId="0" fontId="2" fillId="7" borderId="1" xfId="0" applyFont="1" applyFill="1" applyBorder="1" applyAlignment="1">
      <alignment vertical="center" wrapText="1"/>
    </xf>
    <xf numFmtId="0" fontId="3" fillId="0" borderId="1" xfId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2" fontId="2" fillId="0" borderId="2" xfId="0" applyNumberFormat="1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3" fillId="0" borderId="1" xfId="1" applyBorder="1" applyAlignment="1">
      <alignment wrapText="1"/>
    </xf>
    <xf numFmtId="42" fontId="0" fillId="0" borderId="1" xfId="0" applyNumberFormat="1" applyBorder="1"/>
    <xf numFmtId="42" fontId="0" fillId="0" borderId="0" xfId="0" applyNumberFormat="1"/>
    <xf numFmtId="42" fontId="1" fillId="0" borderId="0" xfId="0" applyNumberFormat="1" applyFont="1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/>
    </xf>
    <xf numFmtId="42" fontId="0" fillId="0" borderId="1" xfId="0" applyNumberFormat="1" applyBorder="1" applyAlignment="1">
      <alignment vertical="center"/>
    </xf>
    <xf numFmtId="42" fontId="2" fillId="0" borderId="1" xfId="0" applyNumberFormat="1" applyFont="1" applyBorder="1" applyAlignment="1">
      <alignment horizontal="center" vertical="center" wrapText="1"/>
    </xf>
    <xf numFmtId="0" fontId="3" fillId="0" borderId="1" xfId="1" applyBorder="1" applyAlignment="1">
      <alignment vertical="center" wrapText="1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0" borderId="1" xfId="1" applyBorder="1" applyAlignment="1">
      <alignment horizontal="left" vertical="center" wrapText="1"/>
    </xf>
    <xf numFmtId="0" fontId="3" fillId="0" borderId="1" xfId="1" applyBorder="1" applyAlignment="1">
      <alignment horizontal="left" vertical="center"/>
    </xf>
    <xf numFmtId="42" fontId="2" fillId="0" borderId="1" xfId="0" applyNumberFormat="1" applyFont="1" applyBorder="1" applyAlignment="1">
      <alignment horizontal="left" vertical="center" wrapText="1"/>
    </xf>
    <xf numFmtId="42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/>
    <xf numFmtId="0" fontId="3" fillId="0" borderId="1" xfId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11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2" fontId="1" fillId="0" borderId="1" xfId="0" applyNumberFormat="1" applyFont="1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5" fillId="8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3" fillId="0" borderId="1" xfId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3" fillId="0" borderId="2" xfId="1" applyBorder="1" applyAlignment="1">
      <alignment horizontal="left" vertical="center" wrapText="1"/>
    </xf>
    <xf numFmtId="0" fontId="3" fillId="0" borderId="2" xfId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1" fillId="0" borderId="1" xfId="0" applyNumberFormat="1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42" fontId="0" fillId="12" borderId="1" xfId="0" applyNumberFormat="1" applyFill="1" applyBorder="1" applyAlignment="1">
      <alignment horizontal="center" vertical="center" wrapText="1"/>
    </xf>
    <xf numFmtId="0" fontId="6" fillId="0" borderId="0" xfId="0" applyFont="1"/>
    <xf numFmtId="0" fontId="0" fillId="0" borderId="5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3" fontId="0" fillId="0" borderId="0" xfId="0" applyNumberFormat="1"/>
    <xf numFmtId="42" fontId="0" fillId="0" borderId="0" xfId="0" applyNumberFormat="1" applyAlignment="1">
      <alignment horizontal="center" vertical="center"/>
    </xf>
    <xf numFmtId="16" fontId="0" fillId="0" borderId="1" xfId="0" applyNumberFormat="1" applyBorder="1" applyAlignment="1">
      <alignment horizontal="center" vertical="center" wrapText="1"/>
    </xf>
    <xf numFmtId="16" fontId="0" fillId="0" borderId="0" xfId="0" applyNumberFormat="1"/>
    <xf numFmtId="6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7FEA97FF-BCDA-4EF8-B28E-9C5FF74CE62E}"/>
  </cellStyles>
  <dxfs count="4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39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6599-507A-4C32-B202-BFD02BF6A9EB}">
  <dimension ref="B1:P127"/>
  <sheetViews>
    <sheetView topLeftCell="A3" workbookViewId="0">
      <selection activeCell="D5" sqref="D5"/>
    </sheetView>
  </sheetViews>
  <sheetFormatPr defaultRowHeight="15" x14ac:dyDescent="0.25"/>
  <cols>
    <col min="2" max="2" width="4.42578125" customWidth="1"/>
    <col min="3" max="3" width="26.140625" customWidth="1"/>
    <col min="4" max="4" width="9.5703125" style="1" customWidth="1"/>
    <col min="5" max="5" width="10.7109375" style="1" customWidth="1"/>
    <col min="6" max="6" width="17" customWidth="1"/>
    <col min="7" max="7" width="14.42578125" customWidth="1"/>
    <col min="8" max="8" width="13.85546875" customWidth="1"/>
    <col min="10" max="10" width="9.140625" style="1"/>
    <col min="11" max="11" width="16.28515625" style="2" customWidth="1"/>
    <col min="14" max="14" width="13.28515625" customWidth="1"/>
    <col min="15" max="15" width="12.85546875" bestFit="1" customWidth="1"/>
  </cols>
  <sheetData>
    <row r="1" spans="2:16" x14ac:dyDescent="0.25">
      <c r="J1" s="81" t="s">
        <v>322</v>
      </c>
      <c r="K1" s="81"/>
      <c r="L1" s="81"/>
      <c r="M1" s="81"/>
      <c r="N1" s="81"/>
      <c r="O1" s="81"/>
      <c r="P1" s="81"/>
    </row>
    <row r="2" spans="2:16" x14ac:dyDescent="0.25">
      <c r="H2" s="83" t="s">
        <v>3</v>
      </c>
      <c r="I2" s="83">
        <f>D3+K3</f>
        <v>242</v>
      </c>
      <c r="J2" s="17"/>
      <c r="K2" s="17"/>
      <c r="L2" s="17"/>
      <c r="M2" s="17"/>
      <c r="N2" s="17"/>
      <c r="O2" s="17"/>
      <c r="P2" s="17"/>
    </row>
    <row r="3" spans="2:16" x14ac:dyDescent="0.25">
      <c r="C3" s="21" t="s">
        <v>298</v>
      </c>
      <c r="D3" s="1">
        <f>SUM(E6:E295)</f>
        <v>196</v>
      </c>
      <c r="F3" s="21" t="s">
        <v>295</v>
      </c>
      <c r="G3" s="24">
        <f>SUM(G6:G295)</f>
        <v>39200000</v>
      </c>
      <c r="H3" s="83"/>
      <c r="I3" s="83"/>
      <c r="J3" s="1" t="s">
        <v>326</v>
      </c>
      <c r="K3" s="2">
        <f>SUM(M6:M9)</f>
        <v>46</v>
      </c>
      <c r="M3" s="82" t="s">
        <v>295</v>
      </c>
      <c r="N3" s="82"/>
      <c r="O3" s="24">
        <f>SUM(O6:O9)</f>
        <v>8000000</v>
      </c>
    </row>
    <row r="5" spans="2:16" ht="30" x14ac:dyDescent="0.25">
      <c r="B5" s="19" t="s">
        <v>288</v>
      </c>
      <c r="C5" s="19" t="s">
        <v>289</v>
      </c>
      <c r="D5" s="19" t="s">
        <v>299</v>
      </c>
      <c r="E5" s="19" t="s">
        <v>300</v>
      </c>
      <c r="F5" s="19" t="s">
        <v>290</v>
      </c>
      <c r="G5" s="19" t="s">
        <v>291</v>
      </c>
      <c r="H5" s="19" t="s">
        <v>292</v>
      </c>
      <c r="J5" s="19" t="s">
        <v>288</v>
      </c>
      <c r="K5" s="19" t="s">
        <v>289</v>
      </c>
      <c r="L5" s="19" t="s">
        <v>299</v>
      </c>
      <c r="M5" s="19" t="s">
        <v>300</v>
      </c>
      <c r="N5" s="19" t="s">
        <v>290</v>
      </c>
      <c r="O5" s="19" t="s">
        <v>291</v>
      </c>
      <c r="P5" s="19" t="s">
        <v>292</v>
      </c>
    </row>
    <row r="6" spans="2:16" ht="30" x14ac:dyDescent="0.25">
      <c r="B6" s="15">
        <v>1</v>
      </c>
      <c r="C6" s="20" t="s">
        <v>293</v>
      </c>
      <c r="D6" s="4" t="s">
        <v>203</v>
      </c>
      <c r="E6" s="4">
        <v>4</v>
      </c>
      <c r="F6" s="5">
        <f>_xlfn.IFS(D6="GOLD",200000,D6="SILVER",150000,D6="REGULER",110000)</f>
        <v>200000</v>
      </c>
      <c r="G6" s="23">
        <f>E6*F6</f>
        <v>800000</v>
      </c>
      <c r="H6" s="3"/>
      <c r="J6" s="4">
        <v>1</v>
      </c>
      <c r="K6" s="45" t="s">
        <v>323</v>
      </c>
      <c r="L6" s="3" t="s">
        <v>33</v>
      </c>
      <c r="M6" s="3">
        <v>10</v>
      </c>
      <c r="N6" s="5">
        <f>_xlfn.IFS(L6="GOLD",200000,L6="SILVER",150000,L6="REGULER",110000)</f>
        <v>200000</v>
      </c>
      <c r="O6" s="23">
        <f>M6*N6</f>
        <v>2000000</v>
      </c>
      <c r="P6" s="3"/>
    </row>
    <row r="7" spans="2:16" ht="30" x14ac:dyDescent="0.25">
      <c r="B7" s="15">
        <v>2</v>
      </c>
      <c r="C7" s="20" t="s">
        <v>294</v>
      </c>
      <c r="D7" s="4" t="s">
        <v>203</v>
      </c>
      <c r="E7" s="4">
        <v>4</v>
      </c>
      <c r="F7" s="5">
        <f t="shared" ref="F7:F70" si="0">_xlfn.IFS(D7="GOLD",200000,D7="SILVER",150000,D7="REGULER",110000)</f>
        <v>200000</v>
      </c>
      <c r="G7" s="23">
        <f t="shared" ref="G7:G70" si="1">E7*F7</f>
        <v>800000</v>
      </c>
      <c r="H7" s="3"/>
      <c r="J7" s="4">
        <v>2</v>
      </c>
      <c r="K7" s="45" t="s">
        <v>234</v>
      </c>
      <c r="L7" s="3" t="s">
        <v>33</v>
      </c>
      <c r="M7" s="3">
        <v>5</v>
      </c>
      <c r="N7" s="5" t="s">
        <v>325</v>
      </c>
      <c r="O7" s="23"/>
      <c r="P7" s="3"/>
    </row>
    <row r="8" spans="2:16" x14ac:dyDescent="0.25">
      <c r="B8" s="15">
        <v>3</v>
      </c>
      <c r="C8" s="20" t="s">
        <v>282</v>
      </c>
      <c r="D8" s="4" t="s">
        <v>203</v>
      </c>
      <c r="E8" s="4">
        <v>4</v>
      </c>
      <c r="F8" s="5">
        <f t="shared" si="0"/>
        <v>200000</v>
      </c>
      <c r="G8" s="23">
        <f t="shared" si="1"/>
        <v>800000</v>
      </c>
      <c r="H8" s="3"/>
      <c r="J8" s="4">
        <v>3</v>
      </c>
      <c r="K8" s="45" t="s">
        <v>324</v>
      </c>
      <c r="L8" s="3" t="s">
        <v>33</v>
      </c>
      <c r="M8" s="3">
        <v>1</v>
      </c>
      <c r="N8" s="5" t="s">
        <v>325</v>
      </c>
      <c r="O8" s="3"/>
      <c r="P8" s="3"/>
    </row>
    <row r="9" spans="2:16" x14ac:dyDescent="0.25">
      <c r="B9" s="15">
        <v>4</v>
      </c>
      <c r="C9" s="20" t="s">
        <v>279</v>
      </c>
      <c r="D9" s="4" t="s">
        <v>203</v>
      </c>
      <c r="E9" s="4">
        <v>1</v>
      </c>
      <c r="F9" s="5">
        <f t="shared" si="0"/>
        <v>200000</v>
      </c>
      <c r="G9" s="23">
        <f t="shared" si="1"/>
        <v>200000</v>
      </c>
      <c r="H9" s="3"/>
      <c r="J9" s="4">
        <v>4</v>
      </c>
      <c r="K9" s="45" t="s">
        <v>309</v>
      </c>
      <c r="L9" s="3" t="s">
        <v>33</v>
      </c>
      <c r="M9" s="3">
        <v>30</v>
      </c>
      <c r="N9" s="5">
        <f>_xlfn.IFS(L9="GOLD",200000,L9="SILVER",150000,L9="REGULER",110000)</f>
        <v>200000</v>
      </c>
      <c r="O9" s="23">
        <f>M9*N9</f>
        <v>6000000</v>
      </c>
      <c r="P9" s="3"/>
    </row>
    <row r="10" spans="2:16" x14ac:dyDescent="0.25">
      <c r="B10" s="15">
        <v>5</v>
      </c>
      <c r="C10" s="20" t="s">
        <v>283</v>
      </c>
      <c r="D10" s="4" t="s">
        <v>203</v>
      </c>
      <c r="E10" s="4">
        <v>2</v>
      </c>
      <c r="F10" s="5">
        <f t="shared" si="0"/>
        <v>200000</v>
      </c>
      <c r="G10" s="23">
        <f t="shared" si="1"/>
        <v>400000</v>
      </c>
      <c r="H10" s="3"/>
    </row>
    <row r="11" spans="2:16" x14ac:dyDescent="0.25">
      <c r="B11" s="15">
        <v>6</v>
      </c>
      <c r="C11" s="20" t="s">
        <v>297</v>
      </c>
      <c r="D11" s="4" t="s">
        <v>203</v>
      </c>
      <c r="E11" s="4">
        <v>1</v>
      </c>
      <c r="F11" s="5">
        <f t="shared" si="0"/>
        <v>200000</v>
      </c>
      <c r="G11" s="23">
        <f t="shared" si="1"/>
        <v>200000</v>
      </c>
      <c r="H11" s="3"/>
    </row>
    <row r="12" spans="2:16" x14ac:dyDescent="0.25">
      <c r="B12" s="15">
        <v>7</v>
      </c>
      <c r="C12" s="20" t="s">
        <v>268</v>
      </c>
      <c r="D12" s="4" t="s">
        <v>203</v>
      </c>
      <c r="E12" s="4">
        <v>1</v>
      </c>
      <c r="F12" s="5">
        <f t="shared" si="0"/>
        <v>200000</v>
      </c>
      <c r="G12" s="23">
        <f t="shared" si="1"/>
        <v>200000</v>
      </c>
      <c r="H12" s="3"/>
    </row>
    <row r="13" spans="2:16" x14ac:dyDescent="0.25">
      <c r="B13" s="15">
        <v>8</v>
      </c>
      <c r="C13" s="20" t="s">
        <v>251</v>
      </c>
      <c r="D13" s="4" t="s">
        <v>203</v>
      </c>
      <c r="E13" s="4">
        <v>1</v>
      </c>
      <c r="F13" s="5">
        <f t="shared" si="0"/>
        <v>200000</v>
      </c>
      <c r="G13" s="23">
        <f t="shared" si="1"/>
        <v>200000</v>
      </c>
      <c r="H13" s="3"/>
    </row>
    <row r="14" spans="2:16" x14ac:dyDescent="0.25">
      <c r="B14" s="15">
        <v>9</v>
      </c>
      <c r="C14" s="20" t="s">
        <v>205</v>
      </c>
      <c r="D14" s="4" t="s">
        <v>203</v>
      </c>
      <c r="E14" s="4">
        <v>3</v>
      </c>
      <c r="F14" s="5">
        <f t="shared" si="0"/>
        <v>200000</v>
      </c>
      <c r="G14" s="23">
        <f t="shared" si="1"/>
        <v>600000</v>
      </c>
      <c r="H14" s="3"/>
    </row>
    <row r="15" spans="2:16" x14ac:dyDescent="0.25">
      <c r="B15" s="15">
        <v>10</v>
      </c>
      <c r="C15" s="20" t="s">
        <v>209</v>
      </c>
      <c r="D15" s="4" t="s">
        <v>203</v>
      </c>
      <c r="E15" s="4">
        <v>2</v>
      </c>
      <c r="F15" s="5">
        <f t="shared" si="0"/>
        <v>200000</v>
      </c>
      <c r="G15" s="23">
        <f t="shared" si="1"/>
        <v>400000</v>
      </c>
      <c r="H15" s="3"/>
    </row>
    <row r="16" spans="2:16" x14ac:dyDescent="0.25">
      <c r="B16" s="15">
        <v>11</v>
      </c>
      <c r="C16" s="20" t="s">
        <v>129</v>
      </c>
      <c r="D16" s="4" t="s">
        <v>203</v>
      </c>
      <c r="E16" s="4">
        <v>2</v>
      </c>
      <c r="F16" s="5">
        <f t="shared" si="0"/>
        <v>200000</v>
      </c>
      <c r="G16" s="23">
        <f t="shared" si="1"/>
        <v>400000</v>
      </c>
      <c r="H16" s="3"/>
    </row>
    <row r="17" spans="2:8" x14ac:dyDescent="0.25">
      <c r="B17" s="15">
        <v>12</v>
      </c>
      <c r="C17" s="20" t="s">
        <v>120</v>
      </c>
      <c r="D17" s="4" t="s">
        <v>203</v>
      </c>
      <c r="E17" s="4">
        <v>1</v>
      </c>
      <c r="F17" s="5">
        <f t="shared" si="0"/>
        <v>200000</v>
      </c>
      <c r="G17" s="23">
        <f t="shared" si="1"/>
        <v>200000</v>
      </c>
      <c r="H17" s="3"/>
    </row>
    <row r="18" spans="2:8" x14ac:dyDescent="0.25">
      <c r="B18" s="15">
        <v>13</v>
      </c>
      <c r="C18" s="20" t="s">
        <v>130</v>
      </c>
      <c r="D18" s="4" t="s">
        <v>203</v>
      </c>
      <c r="E18" s="4">
        <v>1</v>
      </c>
      <c r="F18" s="5">
        <f t="shared" si="0"/>
        <v>200000</v>
      </c>
      <c r="G18" s="23">
        <f t="shared" si="1"/>
        <v>200000</v>
      </c>
      <c r="H18" s="3"/>
    </row>
    <row r="19" spans="2:8" x14ac:dyDescent="0.25">
      <c r="B19" s="15">
        <v>14</v>
      </c>
      <c r="C19" s="20" t="s">
        <v>124</v>
      </c>
      <c r="D19" s="4" t="s">
        <v>203</v>
      </c>
      <c r="E19" s="4">
        <v>1</v>
      </c>
      <c r="F19" s="5">
        <f t="shared" si="0"/>
        <v>200000</v>
      </c>
      <c r="G19" s="23">
        <f t="shared" si="1"/>
        <v>200000</v>
      </c>
      <c r="H19" s="3"/>
    </row>
    <row r="20" spans="2:8" x14ac:dyDescent="0.25">
      <c r="B20" s="15">
        <v>15</v>
      </c>
      <c r="C20" s="20" t="s">
        <v>126</v>
      </c>
      <c r="D20" s="4" t="s">
        <v>203</v>
      </c>
      <c r="E20" s="4">
        <v>2</v>
      </c>
      <c r="F20" s="5">
        <f t="shared" si="0"/>
        <v>200000</v>
      </c>
      <c r="G20" s="23">
        <f t="shared" si="1"/>
        <v>400000</v>
      </c>
      <c r="H20" s="3"/>
    </row>
    <row r="21" spans="2:8" x14ac:dyDescent="0.25">
      <c r="B21" s="15">
        <v>16</v>
      </c>
      <c r="C21" s="20" t="s">
        <v>118</v>
      </c>
      <c r="D21" s="4" t="s">
        <v>203</v>
      </c>
      <c r="E21" s="4">
        <v>1</v>
      </c>
      <c r="F21" s="5">
        <f t="shared" si="0"/>
        <v>200000</v>
      </c>
      <c r="G21" s="23">
        <f t="shared" si="1"/>
        <v>200000</v>
      </c>
      <c r="H21" s="3"/>
    </row>
    <row r="22" spans="2:8" x14ac:dyDescent="0.25">
      <c r="B22" s="15">
        <v>17</v>
      </c>
      <c r="C22" s="20" t="s">
        <v>6</v>
      </c>
      <c r="D22" s="4" t="s">
        <v>203</v>
      </c>
      <c r="E22" s="4">
        <v>2</v>
      </c>
      <c r="F22" s="5">
        <f t="shared" si="0"/>
        <v>200000</v>
      </c>
      <c r="G22" s="23">
        <f t="shared" si="1"/>
        <v>400000</v>
      </c>
      <c r="H22" s="3"/>
    </row>
    <row r="23" spans="2:8" ht="30" x14ac:dyDescent="0.25">
      <c r="B23" s="15">
        <v>18</v>
      </c>
      <c r="C23" s="20" t="s">
        <v>187</v>
      </c>
      <c r="D23" s="4" t="s">
        <v>203</v>
      </c>
      <c r="E23" s="4">
        <v>2</v>
      </c>
      <c r="F23" s="5">
        <f t="shared" si="0"/>
        <v>200000</v>
      </c>
      <c r="G23" s="23">
        <f t="shared" si="1"/>
        <v>400000</v>
      </c>
      <c r="H23" s="3"/>
    </row>
    <row r="24" spans="2:8" x14ac:dyDescent="0.25">
      <c r="B24" s="15">
        <v>19</v>
      </c>
      <c r="C24" s="20" t="s">
        <v>180</v>
      </c>
      <c r="D24" s="4" t="s">
        <v>203</v>
      </c>
      <c r="E24" s="4">
        <v>3</v>
      </c>
      <c r="F24" s="5">
        <f t="shared" si="0"/>
        <v>200000</v>
      </c>
      <c r="G24" s="23">
        <f t="shared" si="1"/>
        <v>600000</v>
      </c>
      <c r="H24" s="3"/>
    </row>
    <row r="25" spans="2:8" x14ac:dyDescent="0.25">
      <c r="B25" s="15">
        <v>20</v>
      </c>
      <c r="C25" s="20" t="s">
        <v>166</v>
      </c>
      <c r="D25" s="4" t="s">
        <v>203</v>
      </c>
      <c r="E25" s="4">
        <v>2</v>
      </c>
      <c r="F25" s="5">
        <f t="shared" si="0"/>
        <v>200000</v>
      </c>
      <c r="G25" s="23">
        <f t="shared" si="1"/>
        <v>400000</v>
      </c>
      <c r="H25" s="3"/>
    </row>
    <row r="26" spans="2:8" x14ac:dyDescent="0.25">
      <c r="B26" s="15">
        <v>21</v>
      </c>
      <c r="C26" s="20" t="s">
        <v>152</v>
      </c>
      <c r="D26" s="4" t="s">
        <v>203</v>
      </c>
      <c r="E26" s="4">
        <v>1</v>
      </c>
      <c r="F26" s="5">
        <f t="shared" si="0"/>
        <v>200000</v>
      </c>
      <c r="G26" s="23">
        <f t="shared" si="1"/>
        <v>200000</v>
      </c>
      <c r="H26" s="3"/>
    </row>
    <row r="27" spans="2:8" x14ac:dyDescent="0.25">
      <c r="B27" s="15">
        <v>22</v>
      </c>
      <c r="C27" s="20" t="s">
        <v>296</v>
      </c>
      <c r="D27" s="4" t="s">
        <v>203</v>
      </c>
      <c r="E27" s="4">
        <v>1</v>
      </c>
      <c r="F27" s="5">
        <f t="shared" si="0"/>
        <v>200000</v>
      </c>
      <c r="G27" s="23">
        <f t="shared" si="1"/>
        <v>200000</v>
      </c>
      <c r="H27" s="3"/>
    </row>
    <row r="28" spans="2:8" x14ac:dyDescent="0.25">
      <c r="B28" s="15">
        <v>23</v>
      </c>
      <c r="C28" s="20" t="s">
        <v>160</v>
      </c>
      <c r="D28" s="4" t="s">
        <v>203</v>
      </c>
      <c r="E28" s="4">
        <v>1</v>
      </c>
      <c r="F28" s="5">
        <f t="shared" si="0"/>
        <v>200000</v>
      </c>
      <c r="G28" s="23">
        <f t="shared" si="1"/>
        <v>200000</v>
      </c>
      <c r="H28" s="3"/>
    </row>
    <row r="29" spans="2:8" x14ac:dyDescent="0.25">
      <c r="B29" s="15">
        <v>24</v>
      </c>
      <c r="C29" s="20" t="s">
        <v>152</v>
      </c>
      <c r="D29" s="4" t="s">
        <v>203</v>
      </c>
      <c r="E29" s="4">
        <v>1</v>
      </c>
      <c r="F29" s="5">
        <f t="shared" si="0"/>
        <v>200000</v>
      </c>
      <c r="G29" s="23">
        <f t="shared" si="1"/>
        <v>200000</v>
      </c>
      <c r="H29" s="3"/>
    </row>
    <row r="30" spans="2:8" x14ac:dyDescent="0.25">
      <c r="B30" s="15">
        <v>25</v>
      </c>
      <c r="C30" s="20" t="s">
        <v>151</v>
      </c>
      <c r="D30" s="4" t="s">
        <v>203</v>
      </c>
      <c r="E30" s="4">
        <v>1</v>
      </c>
      <c r="F30" s="5">
        <f t="shared" si="0"/>
        <v>200000</v>
      </c>
      <c r="G30" s="23">
        <f t="shared" si="1"/>
        <v>200000</v>
      </c>
      <c r="H30" s="3"/>
    </row>
    <row r="31" spans="2:8" x14ac:dyDescent="0.25">
      <c r="B31" s="15">
        <v>26</v>
      </c>
      <c r="C31" s="20" t="s">
        <v>161</v>
      </c>
      <c r="D31" s="4" t="s">
        <v>203</v>
      </c>
      <c r="E31" s="4">
        <v>1</v>
      </c>
      <c r="F31" s="5">
        <f t="shared" si="0"/>
        <v>200000</v>
      </c>
      <c r="G31" s="23">
        <f t="shared" si="1"/>
        <v>200000</v>
      </c>
      <c r="H31" s="3"/>
    </row>
    <row r="32" spans="2:8" x14ac:dyDescent="0.25">
      <c r="B32" s="15">
        <v>27</v>
      </c>
      <c r="C32" s="20" t="s">
        <v>149</v>
      </c>
      <c r="D32" s="4" t="s">
        <v>203</v>
      </c>
      <c r="E32" s="4">
        <v>1</v>
      </c>
      <c r="F32" s="5">
        <f t="shared" si="0"/>
        <v>200000</v>
      </c>
      <c r="G32" s="23">
        <f t="shared" si="1"/>
        <v>200000</v>
      </c>
      <c r="H32" s="3"/>
    </row>
    <row r="33" spans="2:8" x14ac:dyDescent="0.25">
      <c r="B33" s="15">
        <v>28</v>
      </c>
      <c r="C33" s="20" t="s">
        <v>147</v>
      </c>
      <c r="D33" s="4" t="s">
        <v>203</v>
      </c>
      <c r="E33" s="4">
        <v>4</v>
      </c>
      <c r="F33" s="5">
        <f t="shared" si="0"/>
        <v>200000</v>
      </c>
      <c r="G33" s="23">
        <f t="shared" si="1"/>
        <v>800000</v>
      </c>
      <c r="H33" s="3"/>
    </row>
    <row r="34" spans="2:8" x14ac:dyDescent="0.25">
      <c r="B34" s="15">
        <v>29</v>
      </c>
      <c r="C34" s="20" t="s">
        <v>131</v>
      </c>
      <c r="D34" s="4" t="s">
        <v>203</v>
      </c>
      <c r="E34" s="4">
        <v>2</v>
      </c>
      <c r="F34" s="5">
        <f t="shared" si="0"/>
        <v>200000</v>
      </c>
      <c r="G34" s="23">
        <f t="shared" si="1"/>
        <v>400000</v>
      </c>
      <c r="H34" s="3"/>
    </row>
    <row r="35" spans="2:8" x14ac:dyDescent="0.25">
      <c r="B35" s="15">
        <v>30</v>
      </c>
      <c r="C35" s="20" t="s">
        <v>143</v>
      </c>
      <c r="D35" s="4" t="s">
        <v>203</v>
      </c>
      <c r="E35" s="4">
        <v>1</v>
      </c>
      <c r="F35" s="5">
        <f t="shared" si="0"/>
        <v>200000</v>
      </c>
      <c r="G35" s="23">
        <f t="shared" si="1"/>
        <v>200000</v>
      </c>
      <c r="H35" s="3"/>
    </row>
    <row r="36" spans="2:8" x14ac:dyDescent="0.25">
      <c r="B36" s="15">
        <v>31</v>
      </c>
      <c r="C36" s="20" t="s">
        <v>146</v>
      </c>
      <c r="D36" s="4" t="s">
        <v>203</v>
      </c>
      <c r="E36" s="4">
        <v>1</v>
      </c>
      <c r="F36" s="5">
        <f t="shared" si="0"/>
        <v>200000</v>
      </c>
      <c r="G36" s="23">
        <f t="shared" si="1"/>
        <v>200000</v>
      </c>
      <c r="H36" s="3"/>
    </row>
    <row r="37" spans="2:8" x14ac:dyDescent="0.25">
      <c r="B37" s="15">
        <v>32</v>
      </c>
      <c r="C37" s="20" t="s">
        <v>144</v>
      </c>
      <c r="D37" s="4" t="s">
        <v>203</v>
      </c>
      <c r="E37" s="4">
        <v>1</v>
      </c>
      <c r="F37" s="5">
        <f t="shared" si="0"/>
        <v>200000</v>
      </c>
      <c r="G37" s="23">
        <f t="shared" si="1"/>
        <v>200000</v>
      </c>
      <c r="H37" s="3"/>
    </row>
    <row r="38" spans="2:8" x14ac:dyDescent="0.25">
      <c r="B38" s="15">
        <v>33</v>
      </c>
      <c r="C38" s="20" t="s">
        <v>145</v>
      </c>
      <c r="D38" s="4" t="s">
        <v>203</v>
      </c>
      <c r="E38" s="4">
        <v>1</v>
      </c>
      <c r="F38" s="5">
        <f t="shared" si="0"/>
        <v>200000</v>
      </c>
      <c r="G38" s="23">
        <f t="shared" si="1"/>
        <v>200000</v>
      </c>
      <c r="H38" s="3"/>
    </row>
    <row r="39" spans="2:8" x14ac:dyDescent="0.25">
      <c r="B39" s="15">
        <v>34</v>
      </c>
      <c r="C39" s="20" t="s">
        <v>119</v>
      </c>
      <c r="D39" s="4" t="s">
        <v>203</v>
      </c>
      <c r="E39" s="4">
        <v>2</v>
      </c>
      <c r="F39" s="5">
        <f t="shared" si="0"/>
        <v>200000</v>
      </c>
      <c r="G39" s="23">
        <f t="shared" si="1"/>
        <v>400000</v>
      </c>
      <c r="H39" s="3"/>
    </row>
    <row r="40" spans="2:8" x14ac:dyDescent="0.25">
      <c r="B40" s="15">
        <v>35</v>
      </c>
      <c r="C40" s="20" t="s">
        <v>89</v>
      </c>
      <c r="D40" s="4" t="s">
        <v>203</v>
      </c>
      <c r="E40" s="4">
        <v>1</v>
      </c>
      <c r="F40" s="5">
        <f t="shared" si="0"/>
        <v>200000</v>
      </c>
      <c r="G40" s="23">
        <f t="shared" si="1"/>
        <v>200000</v>
      </c>
      <c r="H40" s="3"/>
    </row>
    <row r="41" spans="2:8" x14ac:dyDescent="0.25">
      <c r="B41" s="15">
        <v>36</v>
      </c>
      <c r="C41" s="20" t="s">
        <v>108</v>
      </c>
      <c r="D41" s="4" t="s">
        <v>203</v>
      </c>
      <c r="E41" s="4">
        <v>1</v>
      </c>
      <c r="F41" s="5">
        <f t="shared" si="0"/>
        <v>200000</v>
      </c>
      <c r="G41" s="23">
        <f t="shared" si="1"/>
        <v>200000</v>
      </c>
      <c r="H41" s="3"/>
    </row>
    <row r="42" spans="2:8" x14ac:dyDescent="0.25">
      <c r="B42" s="15">
        <v>37</v>
      </c>
      <c r="C42" s="20" t="s">
        <v>134</v>
      </c>
      <c r="D42" s="4" t="s">
        <v>203</v>
      </c>
      <c r="E42" s="4">
        <v>1</v>
      </c>
      <c r="F42" s="5">
        <f t="shared" si="0"/>
        <v>200000</v>
      </c>
      <c r="G42" s="23">
        <f t="shared" si="1"/>
        <v>200000</v>
      </c>
      <c r="H42" s="3"/>
    </row>
    <row r="43" spans="2:8" x14ac:dyDescent="0.25">
      <c r="B43" s="15">
        <v>38</v>
      </c>
      <c r="C43" s="20" t="s">
        <v>115</v>
      </c>
      <c r="D43" s="4" t="s">
        <v>203</v>
      </c>
      <c r="E43" s="4">
        <v>1</v>
      </c>
      <c r="F43" s="5">
        <f t="shared" si="0"/>
        <v>200000</v>
      </c>
      <c r="G43" s="23">
        <f t="shared" si="1"/>
        <v>200000</v>
      </c>
      <c r="H43" s="3"/>
    </row>
    <row r="44" spans="2:8" x14ac:dyDescent="0.25">
      <c r="B44" s="15">
        <v>39</v>
      </c>
      <c r="C44" s="20" t="s">
        <v>113</v>
      </c>
      <c r="D44" s="4" t="s">
        <v>203</v>
      </c>
      <c r="E44" s="4">
        <v>2</v>
      </c>
      <c r="F44" s="5">
        <f t="shared" si="0"/>
        <v>200000</v>
      </c>
      <c r="G44" s="23">
        <f t="shared" si="1"/>
        <v>400000</v>
      </c>
      <c r="H44" s="3"/>
    </row>
    <row r="45" spans="2:8" x14ac:dyDescent="0.25">
      <c r="B45" s="15">
        <v>40</v>
      </c>
      <c r="C45" s="20" t="s">
        <v>111</v>
      </c>
      <c r="D45" s="4" t="s">
        <v>203</v>
      </c>
      <c r="E45" s="4">
        <v>1</v>
      </c>
      <c r="F45" s="5">
        <f t="shared" si="0"/>
        <v>200000</v>
      </c>
      <c r="G45" s="23">
        <f t="shared" si="1"/>
        <v>200000</v>
      </c>
      <c r="H45" s="3"/>
    </row>
    <row r="46" spans="2:8" x14ac:dyDescent="0.25">
      <c r="B46" s="15">
        <v>41</v>
      </c>
      <c r="C46" s="20" t="s">
        <v>109</v>
      </c>
      <c r="D46" s="4" t="s">
        <v>203</v>
      </c>
      <c r="E46" s="4">
        <v>2</v>
      </c>
      <c r="F46" s="5">
        <f t="shared" si="0"/>
        <v>200000</v>
      </c>
      <c r="G46" s="23">
        <f t="shared" si="1"/>
        <v>400000</v>
      </c>
      <c r="H46" s="3"/>
    </row>
    <row r="47" spans="2:8" x14ac:dyDescent="0.25">
      <c r="B47" s="15">
        <v>42</v>
      </c>
      <c r="C47" s="20" t="s">
        <v>29</v>
      </c>
      <c r="D47" s="4" t="s">
        <v>203</v>
      </c>
      <c r="E47" s="4">
        <v>2</v>
      </c>
      <c r="F47" s="5">
        <f t="shared" si="0"/>
        <v>200000</v>
      </c>
      <c r="G47" s="23">
        <f t="shared" si="1"/>
        <v>400000</v>
      </c>
      <c r="H47" s="3"/>
    </row>
    <row r="48" spans="2:8" x14ac:dyDescent="0.25">
      <c r="B48" s="15">
        <v>43</v>
      </c>
      <c r="C48" s="20" t="s">
        <v>107</v>
      </c>
      <c r="D48" s="4" t="s">
        <v>203</v>
      </c>
      <c r="E48" s="4">
        <v>1</v>
      </c>
      <c r="F48" s="5">
        <f t="shared" si="0"/>
        <v>200000</v>
      </c>
      <c r="G48" s="23">
        <f t="shared" si="1"/>
        <v>200000</v>
      </c>
      <c r="H48" s="3"/>
    </row>
    <row r="49" spans="2:8" x14ac:dyDescent="0.25">
      <c r="B49" s="15">
        <v>44</v>
      </c>
      <c r="C49" s="20" t="s">
        <v>106</v>
      </c>
      <c r="D49" s="4" t="s">
        <v>203</v>
      </c>
      <c r="E49" s="4">
        <v>1</v>
      </c>
      <c r="F49" s="5">
        <f t="shared" si="0"/>
        <v>200000</v>
      </c>
      <c r="G49" s="23">
        <f t="shared" si="1"/>
        <v>200000</v>
      </c>
      <c r="H49" s="3"/>
    </row>
    <row r="50" spans="2:8" x14ac:dyDescent="0.25">
      <c r="B50" s="15">
        <v>45</v>
      </c>
      <c r="C50" s="20" t="s">
        <v>105</v>
      </c>
      <c r="D50" s="4" t="s">
        <v>203</v>
      </c>
      <c r="E50" s="4">
        <v>1</v>
      </c>
      <c r="F50" s="5">
        <f t="shared" si="0"/>
        <v>200000</v>
      </c>
      <c r="G50" s="23">
        <f t="shared" si="1"/>
        <v>200000</v>
      </c>
      <c r="H50" s="3"/>
    </row>
    <row r="51" spans="2:8" x14ac:dyDescent="0.25">
      <c r="B51" s="15">
        <v>46</v>
      </c>
      <c r="C51" s="20" t="s">
        <v>104</v>
      </c>
      <c r="D51" s="4" t="s">
        <v>203</v>
      </c>
      <c r="E51" s="4">
        <v>1</v>
      </c>
      <c r="F51" s="5">
        <f t="shared" si="0"/>
        <v>200000</v>
      </c>
      <c r="G51" s="23">
        <f t="shared" si="1"/>
        <v>200000</v>
      </c>
      <c r="H51" s="3"/>
    </row>
    <row r="52" spans="2:8" x14ac:dyDescent="0.25">
      <c r="B52" s="15">
        <v>47</v>
      </c>
      <c r="C52" s="20" t="s">
        <v>100</v>
      </c>
      <c r="D52" s="4" t="s">
        <v>203</v>
      </c>
      <c r="E52" s="4">
        <v>1</v>
      </c>
      <c r="F52" s="5">
        <f t="shared" si="0"/>
        <v>200000</v>
      </c>
      <c r="G52" s="23">
        <f t="shared" si="1"/>
        <v>200000</v>
      </c>
      <c r="H52" s="3"/>
    </row>
    <row r="53" spans="2:8" x14ac:dyDescent="0.25">
      <c r="B53" s="15">
        <v>48</v>
      </c>
      <c r="C53" s="20" t="s">
        <v>99</v>
      </c>
      <c r="D53" s="4" t="s">
        <v>203</v>
      </c>
      <c r="E53" s="4">
        <v>4</v>
      </c>
      <c r="F53" s="5">
        <f t="shared" si="0"/>
        <v>200000</v>
      </c>
      <c r="G53" s="23">
        <f t="shared" si="1"/>
        <v>800000</v>
      </c>
      <c r="H53" s="3"/>
    </row>
    <row r="54" spans="2:8" x14ac:dyDescent="0.25">
      <c r="B54" s="15">
        <v>49</v>
      </c>
      <c r="C54" s="20" t="s">
        <v>98</v>
      </c>
      <c r="D54" s="4" t="s">
        <v>203</v>
      </c>
      <c r="E54" s="4">
        <v>1</v>
      </c>
      <c r="F54" s="5">
        <f t="shared" si="0"/>
        <v>200000</v>
      </c>
      <c r="G54" s="23">
        <f t="shared" si="1"/>
        <v>200000</v>
      </c>
      <c r="H54" s="3"/>
    </row>
    <row r="55" spans="2:8" x14ac:dyDescent="0.25">
      <c r="B55" s="15">
        <v>50</v>
      </c>
      <c r="C55" s="20" t="s">
        <v>97</v>
      </c>
      <c r="D55" s="4" t="s">
        <v>203</v>
      </c>
      <c r="E55" s="4">
        <v>3</v>
      </c>
      <c r="F55" s="5">
        <f t="shared" si="0"/>
        <v>200000</v>
      </c>
      <c r="G55" s="23">
        <f t="shared" si="1"/>
        <v>600000</v>
      </c>
      <c r="H55" s="3"/>
    </row>
    <row r="56" spans="2:8" x14ac:dyDescent="0.25">
      <c r="B56" s="15">
        <v>51</v>
      </c>
      <c r="C56" s="20" t="s">
        <v>80</v>
      </c>
      <c r="D56" s="4" t="s">
        <v>203</v>
      </c>
      <c r="E56" s="4">
        <v>1</v>
      </c>
      <c r="F56" s="5">
        <f t="shared" si="0"/>
        <v>200000</v>
      </c>
      <c r="G56" s="23">
        <f t="shared" si="1"/>
        <v>200000</v>
      </c>
      <c r="H56" s="3"/>
    </row>
    <row r="57" spans="2:8" x14ac:dyDescent="0.25">
      <c r="B57" s="15">
        <v>52</v>
      </c>
      <c r="C57" s="20" t="s">
        <v>88</v>
      </c>
      <c r="D57" s="4" t="s">
        <v>203</v>
      </c>
      <c r="E57" s="4">
        <v>1</v>
      </c>
      <c r="F57" s="5">
        <f t="shared" si="0"/>
        <v>200000</v>
      </c>
      <c r="G57" s="23">
        <f t="shared" si="1"/>
        <v>200000</v>
      </c>
      <c r="H57" s="3"/>
    </row>
    <row r="58" spans="2:8" x14ac:dyDescent="0.25">
      <c r="B58" s="15">
        <v>53</v>
      </c>
      <c r="C58" s="20" t="s">
        <v>94</v>
      </c>
      <c r="D58" s="4" t="s">
        <v>203</v>
      </c>
      <c r="E58" s="4">
        <v>4</v>
      </c>
      <c r="F58" s="5">
        <f t="shared" si="0"/>
        <v>200000</v>
      </c>
      <c r="G58" s="23">
        <f t="shared" si="1"/>
        <v>800000</v>
      </c>
      <c r="H58" s="3"/>
    </row>
    <row r="59" spans="2:8" x14ac:dyDescent="0.25">
      <c r="B59" s="15">
        <v>54</v>
      </c>
      <c r="C59" s="20" t="s">
        <v>93</v>
      </c>
      <c r="D59" s="4" t="s">
        <v>203</v>
      </c>
      <c r="E59" s="4">
        <v>2</v>
      </c>
      <c r="F59" s="5">
        <f t="shared" si="0"/>
        <v>200000</v>
      </c>
      <c r="G59" s="23">
        <f t="shared" si="1"/>
        <v>400000</v>
      </c>
      <c r="H59" s="3"/>
    </row>
    <row r="60" spans="2:8" x14ac:dyDescent="0.25">
      <c r="B60" s="15">
        <v>55</v>
      </c>
      <c r="C60" s="20" t="s">
        <v>92</v>
      </c>
      <c r="D60" s="4" t="s">
        <v>203</v>
      </c>
      <c r="E60" s="4">
        <v>1</v>
      </c>
      <c r="F60" s="5">
        <f t="shared" si="0"/>
        <v>200000</v>
      </c>
      <c r="G60" s="23">
        <f t="shared" si="1"/>
        <v>200000</v>
      </c>
      <c r="H60" s="3"/>
    </row>
    <row r="61" spans="2:8" x14ac:dyDescent="0.25">
      <c r="B61" s="15">
        <v>56</v>
      </c>
      <c r="C61" s="20" t="s">
        <v>90</v>
      </c>
      <c r="D61" s="4" t="s">
        <v>203</v>
      </c>
      <c r="E61" s="4">
        <v>1</v>
      </c>
      <c r="F61" s="5">
        <f t="shared" si="0"/>
        <v>200000</v>
      </c>
      <c r="G61" s="23">
        <f t="shared" si="1"/>
        <v>200000</v>
      </c>
      <c r="H61" s="3"/>
    </row>
    <row r="62" spans="2:8" x14ac:dyDescent="0.25">
      <c r="B62" s="15">
        <v>57</v>
      </c>
      <c r="C62" s="20" t="s">
        <v>85</v>
      </c>
      <c r="D62" s="4" t="s">
        <v>203</v>
      </c>
      <c r="E62" s="4">
        <v>2</v>
      </c>
      <c r="F62" s="5">
        <f t="shared" si="0"/>
        <v>200000</v>
      </c>
      <c r="G62" s="23">
        <f t="shared" si="1"/>
        <v>400000</v>
      </c>
      <c r="H62" s="3"/>
    </row>
    <row r="63" spans="2:8" x14ac:dyDescent="0.25">
      <c r="B63" s="15">
        <v>58</v>
      </c>
      <c r="C63" s="20" t="s">
        <v>84</v>
      </c>
      <c r="D63" s="4" t="s">
        <v>203</v>
      </c>
      <c r="E63" s="4">
        <v>2</v>
      </c>
      <c r="F63" s="5">
        <f t="shared" si="0"/>
        <v>200000</v>
      </c>
      <c r="G63" s="23">
        <f t="shared" si="1"/>
        <v>400000</v>
      </c>
      <c r="H63" s="3"/>
    </row>
    <row r="64" spans="2:8" x14ac:dyDescent="0.25">
      <c r="B64" s="15">
        <v>59</v>
      </c>
      <c r="C64" s="20" t="s">
        <v>82</v>
      </c>
      <c r="D64" s="4" t="s">
        <v>203</v>
      </c>
      <c r="E64" s="4">
        <v>1</v>
      </c>
      <c r="F64" s="5">
        <f t="shared" si="0"/>
        <v>200000</v>
      </c>
      <c r="G64" s="23">
        <f t="shared" si="1"/>
        <v>200000</v>
      </c>
      <c r="H64" s="3"/>
    </row>
    <row r="65" spans="2:8" x14ac:dyDescent="0.25">
      <c r="B65" s="15">
        <v>60</v>
      </c>
      <c r="C65" s="20" t="s">
        <v>81</v>
      </c>
      <c r="D65" s="4" t="s">
        <v>203</v>
      </c>
      <c r="E65" s="4">
        <v>1</v>
      </c>
      <c r="F65" s="5">
        <f t="shared" si="0"/>
        <v>200000</v>
      </c>
      <c r="G65" s="23">
        <f t="shared" si="1"/>
        <v>200000</v>
      </c>
      <c r="H65" s="3"/>
    </row>
    <row r="66" spans="2:8" x14ac:dyDescent="0.25">
      <c r="B66" s="15">
        <v>61</v>
      </c>
      <c r="C66" s="20" t="s">
        <v>77</v>
      </c>
      <c r="D66" s="4" t="s">
        <v>203</v>
      </c>
      <c r="E66" s="4">
        <v>1</v>
      </c>
      <c r="F66" s="5">
        <f t="shared" si="0"/>
        <v>200000</v>
      </c>
      <c r="G66" s="23">
        <f t="shared" si="1"/>
        <v>200000</v>
      </c>
      <c r="H66" s="3"/>
    </row>
    <row r="67" spans="2:8" x14ac:dyDescent="0.25">
      <c r="B67" s="15">
        <v>62</v>
      </c>
      <c r="C67" s="20" t="s">
        <v>75</v>
      </c>
      <c r="D67" s="4" t="s">
        <v>203</v>
      </c>
      <c r="E67" s="4">
        <v>1</v>
      </c>
      <c r="F67" s="5">
        <f t="shared" si="0"/>
        <v>200000</v>
      </c>
      <c r="G67" s="23">
        <f t="shared" si="1"/>
        <v>200000</v>
      </c>
      <c r="H67" s="3"/>
    </row>
    <row r="68" spans="2:8" x14ac:dyDescent="0.25">
      <c r="B68" s="15">
        <v>63</v>
      </c>
      <c r="C68" s="20" t="s">
        <v>74</v>
      </c>
      <c r="D68" s="4" t="s">
        <v>203</v>
      </c>
      <c r="E68" s="4">
        <v>1</v>
      </c>
      <c r="F68" s="5">
        <f t="shared" si="0"/>
        <v>200000</v>
      </c>
      <c r="G68" s="23">
        <f t="shared" si="1"/>
        <v>200000</v>
      </c>
      <c r="H68" s="3"/>
    </row>
    <row r="69" spans="2:8" x14ac:dyDescent="0.25">
      <c r="B69" s="15">
        <v>64</v>
      </c>
      <c r="C69" s="20" t="s">
        <v>73</v>
      </c>
      <c r="D69" s="4" t="s">
        <v>203</v>
      </c>
      <c r="E69" s="4">
        <v>1</v>
      </c>
      <c r="F69" s="5">
        <f t="shared" si="0"/>
        <v>200000</v>
      </c>
      <c r="G69" s="23">
        <f t="shared" si="1"/>
        <v>200000</v>
      </c>
      <c r="H69" s="3"/>
    </row>
    <row r="70" spans="2:8" x14ac:dyDescent="0.25">
      <c r="B70" s="15">
        <v>65</v>
      </c>
      <c r="C70" s="20" t="s">
        <v>72</v>
      </c>
      <c r="D70" s="4" t="s">
        <v>203</v>
      </c>
      <c r="E70" s="4">
        <v>1</v>
      </c>
      <c r="F70" s="5">
        <f t="shared" si="0"/>
        <v>200000</v>
      </c>
      <c r="G70" s="23">
        <f t="shared" si="1"/>
        <v>200000</v>
      </c>
      <c r="H70" s="3"/>
    </row>
    <row r="71" spans="2:8" x14ac:dyDescent="0.25">
      <c r="B71" s="15">
        <v>66</v>
      </c>
      <c r="C71" s="20" t="s">
        <v>70</v>
      </c>
      <c r="D71" s="4" t="s">
        <v>203</v>
      </c>
      <c r="E71" s="4">
        <v>1</v>
      </c>
      <c r="F71" s="5">
        <f t="shared" ref="F71:F127" si="2">_xlfn.IFS(D71="GOLD",200000,D71="SILVER",150000,D71="REGULER",110000)</f>
        <v>200000</v>
      </c>
      <c r="G71" s="23">
        <f t="shared" ref="G71:G127" si="3">E71*F71</f>
        <v>200000</v>
      </c>
      <c r="H71" s="3"/>
    </row>
    <row r="72" spans="2:8" x14ac:dyDescent="0.25">
      <c r="B72" s="15">
        <v>67</v>
      </c>
      <c r="C72" s="20" t="s">
        <v>69</v>
      </c>
      <c r="D72" s="4" t="s">
        <v>203</v>
      </c>
      <c r="E72" s="4">
        <v>1</v>
      </c>
      <c r="F72" s="5">
        <f t="shared" si="2"/>
        <v>200000</v>
      </c>
      <c r="G72" s="23">
        <f t="shared" si="3"/>
        <v>200000</v>
      </c>
      <c r="H72" s="3"/>
    </row>
    <row r="73" spans="2:8" x14ac:dyDescent="0.25">
      <c r="B73" s="15">
        <v>68</v>
      </c>
      <c r="C73" s="20" t="s">
        <v>68</v>
      </c>
      <c r="D73" s="4" t="s">
        <v>203</v>
      </c>
      <c r="E73" s="4">
        <v>3</v>
      </c>
      <c r="F73" s="5">
        <f t="shared" si="2"/>
        <v>200000</v>
      </c>
      <c r="G73" s="23">
        <f t="shared" si="3"/>
        <v>600000</v>
      </c>
      <c r="H73" s="3"/>
    </row>
    <row r="74" spans="2:8" x14ac:dyDescent="0.25">
      <c r="B74" s="15">
        <v>69</v>
      </c>
      <c r="C74" s="20" t="s">
        <v>66</v>
      </c>
      <c r="D74" s="4" t="s">
        <v>203</v>
      </c>
      <c r="E74" s="4">
        <v>1</v>
      </c>
      <c r="F74" s="5">
        <f t="shared" si="2"/>
        <v>200000</v>
      </c>
      <c r="G74" s="23">
        <f t="shared" si="3"/>
        <v>200000</v>
      </c>
      <c r="H74" s="3"/>
    </row>
    <row r="75" spans="2:8" x14ac:dyDescent="0.25">
      <c r="B75" s="15">
        <v>70</v>
      </c>
      <c r="C75" s="20" t="s">
        <v>65</v>
      </c>
      <c r="D75" s="4" t="s">
        <v>203</v>
      </c>
      <c r="E75" s="4">
        <v>1</v>
      </c>
      <c r="F75" s="5">
        <f t="shared" si="2"/>
        <v>200000</v>
      </c>
      <c r="G75" s="23">
        <f t="shared" si="3"/>
        <v>200000</v>
      </c>
      <c r="H75" s="3"/>
    </row>
    <row r="76" spans="2:8" x14ac:dyDescent="0.25">
      <c r="B76" s="15">
        <v>71</v>
      </c>
      <c r="C76" s="20" t="s">
        <v>63</v>
      </c>
      <c r="D76" s="4" t="s">
        <v>203</v>
      </c>
      <c r="E76" s="4">
        <v>1</v>
      </c>
      <c r="F76" s="5">
        <f t="shared" si="2"/>
        <v>200000</v>
      </c>
      <c r="G76" s="23">
        <f t="shared" si="3"/>
        <v>200000</v>
      </c>
      <c r="H76" s="3"/>
    </row>
    <row r="77" spans="2:8" x14ac:dyDescent="0.25">
      <c r="B77" s="15">
        <v>72</v>
      </c>
      <c r="C77" s="20" t="s">
        <v>62</v>
      </c>
      <c r="D77" s="4" t="s">
        <v>203</v>
      </c>
      <c r="E77" s="4">
        <v>1</v>
      </c>
      <c r="F77" s="5">
        <f t="shared" si="2"/>
        <v>200000</v>
      </c>
      <c r="G77" s="23">
        <f t="shared" si="3"/>
        <v>200000</v>
      </c>
      <c r="H77" s="3"/>
    </row>
    <row r="78" spans="2:8" x14ac:dyDescent="0.25">
      <c r="B78" s="15">
        <v>73</v>
      </c>
      <c r="C78" s="20" t="s">
        <v>61</v>
      </c>
      <c r="D78" s="4" t="s">
        <v>203</v>
      </c>
      <c r="E78" s="4">
        <v>2</v>
      </c>
      <c r="F78" s="5">
        <f t="shared" si="2"/>
        <v>200000</v>
      </c>
      <c r="G78" s="23">
        <f t="shared" si="3"/>
        <v>400000</v>
      </c>
      <c r="H78" s="3"/>
    </row>
    <row r="79" spans="2:8" x14ac:dyDescent="0.25">
      <c r="B79" s="15">
        <v>74</v>
      </c>
      <c r="C79" s="20" t="s">
        <v>60</v>
      </c>
      <c r="D79" s="4" t="s">
        <v>203</v>
      </c>
      <c r="E79" s="4">
        <v>4</v>
      </c>
      <c r="F79" s="5">
        <f t="shared" si="2"/>
        <v>200000</v>
      </c>
      <c r="G79" s="23">
        <f t="shared" si="3"/>
        <v>800000</v>
      </c>
      <c r="H79" s="3"/>
    </row>
    <row r="80" spans="2:8" x14ac:dyDescent="0.25">
      <c r="B80" s="15">
        <v>75</v>
      </c>
      <c r="C80" s="20" t="s">
        <v>59</v>
      </c>
      <c r="D80" s="4" t="s">
        <v>203</v>
      </c>
      <c r="E80" s="4">
        <v>1</v>
      </c>
      <c r="F80" s="5">
        <f t="shared" si="2"/>
        <v>200000</v>
      </c>
      <c r="G80" s="23">
        <f t="shared" si="3"/>
        <v>200000</v>
      </c>
      <c r="H80" s="3"/>
    </row>
    <row r="81" spans="2:11" x14ac:dyDescent="0.25">
      <c r="B81" s="15">
        <v>76</v>
      </c>
      <c r="C81" s="20" t="s">
        <v>58</v>
      </c>
      <c r="D81" s="4" t="s">
        <v>203</v>
      </c>
      <c r="E81" s="4">
        <v>1</v>
      </c>
      <c r="F81" s="5">
        <f t="shared" si="2"/>
        <v>200000</v>
      </c>
      <c r="G81" s="23">
        <f t="shared" si="3"/>
        <v>200000</v>
      </c>
      <c r="H81" s="3"/>
    </row>
    <row r="82" spans="2:11" x14ac:dyDescent="0.25">
      <c r="B82" s="15">
        <v>77</v>
      </c>
      <c r="C82" s="20" t="s">
        <v>57</v>
      </c>
      <c r="D82" s="4" t="s">
        <v>203</v>
      </c>
      <c r="E82" s="4">
        <v>2</v>
      </c>
      <c r="F82" s="5">
        <f t="shared" si="2"/>
        <v>200000</v>
      </c>
      <c r="G82" s="23">
        <f t="shared" si="3"/>
        <v>400000</v>
      </c>
      <c r="H82" s="3"/>
    </row>
    <row r="83" spans="2:11" x14ac:dyDescent="0.25">
      <c r="B83" s="15">
        <v>78</v>
      </c>
      <c r="C83" s="20" t="s">
        <v>56</v>
      </c>
      <c r="D83" s="4" t="s">
        <v>203</v>
      </c>
      <c r="E83" s="4">
        <v>1</v>
      </c>
      <c r="F83" s="5">
        <f t="shared" si="2"/>
        <v>200000</v>
      </c>
      <c r="G83" s="23">
        <f t="shared" si="3"/>
        <v>200000</v>
      </c>
      <c r="H83" s="3"/>
    </row>
    <row r="84" spans="2:11" x14ac:dyDescent="0.25">
      <c r="B84" s="15">
        <v>79</v>
      </c>
      <c r="C84" s="20" t="s">
        <v>55</v>
      </c>
      <c r="D84" s="4" t="s">
        <v>203</v>
      </c>
      <c r="E84" s="4">
        <v>1</v>
      </c>
      <c r="F84" s="5">
        <f t="shared" si="2"/>
        <v>200000</v>
      </c>
      <c r="G84" s="23">
        <f t="shared" si="3"/>
        <v>200000</v>
      </c>
      <c r="H84" s="3"/>
    </row>
    <row r="85" spans="2:11" x14ac:dyDescent="0.25">
      <c r="B85" s="15">
        <v>80</v>
      </c>
      <c r="C85" s="20" t="s">
        <v>54</v>
      </c>
      <c r="D85" s="4" t="s">
        <v>203</v>
      </c>
      <c r="E85" s="4">
        <v>1</v>
      </c>
      <c r="F85" s="5">
        <f t="shared" si="2"/>
        <v>200000</v>
      </c>
      <c r="G85" s="23">
        <f t="shared" si="3"/>
        <v>200000</v>
      </c>
      <c r="H85" s="3"/>
    </row>
    <row r="86" spans="2:11" x14ac:dyDescent="0.25">
      <c r="B86" s="15">
        <v>81</v>
      </c>
      <c r="C86" s="20" t="s">
        <v>53</v>
      </c>
      <c r="D86" s="4" t="s">
        <v>203</v>
      </c>
      <c r="E86" s="4">
        <v>1</v>
      </c>
      <c r="F86" s="5">
        <f t="shared" si="2"/>
        <v>200000</v>
      </c>
      <c r="G86" s="23">
        <f t="shared" si="3"/>
        <v>200000</v>
      </c>
      <c r="H86" s="3"/>
    </row>
    <row r="87" spans="2:11" x14ac:dyDescent="0.25">
      <c r="B87" s="15">
        <v>82</v>
      </c>
      <c r="C87" s="20" t="s">
        <v>52</v>
      </c>
      <c r="D87" s="4" t="s">
        <v>203</v>
      </c>
      <c r="E87" s="4">
        <v>1</v>
      </c>
      <c r="F87" s="5">
        <f t="shared" si="2"/>
        <v>200000</v>
      </c>
      <c r="G87" s="23">
        <f t="shared" si="3"/>
        <v>200000</v>
      </c>
      <c r="H87" s="3"/>
    </row>
    <row r="88" spans="2:11" x14ac:dyDescent="0.25">
      <c r="B88" s="15">
        <v>83</v>
      </c>
      <c r="C88" s="20" t="s">
        <v>51</v>
      </c>
      <c r="D88" s="4" t="s">
        <v>203</v>
      </c>
      <c r="E88" s="4">
        <v>1</v>
      </c>
      <c r="F88" s="5">
        <f t="shared" si="2"/>
        <v>200000</v>
      </c>
      <c r="G88" s="23">
        <f t="shared" si="3"/>
        <v>200000</v>
      </c>
      <c r="H88" s="3"/>
    </row>
    <row r="89" spans="2:11" x14ac:dyDescent="0.25">
      <c r="B89" s="15">
        <v>84</v>
      </c>
      <c r="C89" s="20" t="s">
        <v>50</v>
      </c>
      <c r="D89" s="4" t="s">
        <v>203</v>
      </c>
      <c r="E89" s="4">
        <v>1</v>
      </c>
      <c r="F89" s="5">
        <f t="shared" si="2"/>
        <v>200000</v>
      </c>
      <c r="G89" s="23">
        <f t="shared" si="3"/>
        <v>200000</v>
      </c>
      <c r="H89" s="3"/>
    </row>
    <row r="90" spans="2:11" s="18" customFormat="1" ht="30" x14ac:dyDescent="0.25">
      <c r="B90" s="15">
        <v>85</v>
      </c>
      <c r="C90" s="20" t="s">
        <v>49</v>
      </c>
      <c r="D90" s="4" t="s">
        <v>203</v>
      </c>
      <c r="E90" s="4">
        <v>1</v>
      </c>
      <c r="F90" s="5">
        <f t="shared" si="2"/>
        <v>200000</v>
      </c>
      <c r="G90" s="29">
        <f t="shared" si="3"/>
        <v>200000</v>
      </c>
      <c r="H90" s="28"/>
      <c r="J90" s="1"/>
      <c r="K90" s="2"/>
    </row>
    <row r="91" spans="2:11" x14ac:dyDescent="0.25">
      <c r="B91" s="15">
        <v>86</v>
      </c>
      <c r="C91" s="20" t="s">
        <v>48</v>
      </c>
      <c r="D91" s="4" t="s">
        <v>203</v>
      </c>
      <c r="E91" s="4">
        <v>2</v>
      </c>
      <c r="F91" s="5">
        <f t="shared" si="2"/>
        <v>200000</v>
      </c>
      <c r="G91" s="23">
        <f t="shared" si="3"/>
        <v>400000</v>
      </c>
      <c r="H91" s="3"/>
    </row>
    <row r="92" spans="2:11" x14ac:dyDescent="0.25">
      <c r="B92" s="15">
        <v>87</v>
      </c>
      <c r="C92" s="20" t="s">
        <v>46</v>
      </c>
      <c r="D92" s="4" t="s">
        <v>203</v>
      </c>
      <c r="E92" s="4">
        <v>1</v>
      </c>
      <c r="F92" s="5">
        <f t="shared" si="2"/>
        <v>200000</v>
      </c>
      <c r="G92" s="23">
        <f t="shared" si="3"/>
        <v>200000</v>
      </c>
      <c r="H92" s="3"/>
    </row>
    <row r="93" spans="2:11" x14ac:dyDescent="0.25">
      <c r="B93" s="15">
        <v>88</v>
      </c>
      <c r="C93" s="20" t="s">
        <v>45</v>
      </c>
      <c r="D93" s="4" t="s">
        <v>203</v>
      </c>
      <c r="E93" s="4">
        <v>2</v>
      </c>
      <c r="F93" s="5">
        <f t="shared" si="2"/>
        <v>200000</v>
      </c>
      <c r="G93" s="23">
        <f t="shared" si="3"/>
        <v>400000</v>
      </c>
      <c r="H93" s="3"/>
    </row>
    <row r="94" spans="2:11" x14ac:dyDescent="0.25">
      <c r="B94" s="15">
        <v>89</v>
      </c>
      <c r="C94" s="20" t="s">
        <v>44</v>
      </c>
      <c r="D94" s="4" t="s">
        <v>203</v>
      </c>
      <c r="E94" s="4">
        <v>1</v>
      </c>
      <c r="F94" s="5">
        <f t="shared" si="2"/>
        <v>200000</v>
      </c>
      <c r="G94" s="23">
        <f t="shared" si="3"/>
        <v>200000</v>
      </c>
      <c r="H94" s="3"/>
    </row>
    <row r="95" spans="2:11" x14ac:dyDescent="0.25">
      <c r="B95" s="15">
        <v>90</v>
      </c>
      <c r="C95" s="20" t="s">
        <v>43</v>
      </c>
      <c r="D95" s="4" t="s">
        <v>203</v>
      </c>
      <c r="E95" s="4">
        <v>1</v>
      </c>
      <c r="F95" s="5">
        <f t="shared" si="2"/>
        <v>200000</v>
      </c>
      <c r="G95" s="23">
        <f t="shared" si="3"/>
        <v>200000</v>
      </c>
      <c r="H95" s="3"/>
    </row>
    <row r="96" spans="2:11" x14ac:dyDescent="0.25">
      <c r="B96" s="15">
        <v>91</v>
      </c>
      <c r="C96" s="20" t="s">
        <v>42</v>
      </c>
      <c r="D96" s="4" t="s">
        <v>203</v>
      </c>
      <c r="E96" s="4">
        <v>1</v>
      </c>
      <c r="F96" s="5">
        <f t="shared" si="2"/>
        <v>200000</v>
      </c>
      <c r="G96" s="23">
        <f t="shared" si="3"/>
        <v>200000</v>
      </c>
      <c r="H96" s="3"/>
    </row>
    <row r="97" spans="2:11" x14ac:dyDescent="0.25">
      <c r="B97" s="15">
        <v>92</v>
      </c>
      <c r="C97" s="20" t="s">
        <v>41</v>
      </c>
      <c r="D97" s="4" t="s">
        <v>203</v>
      </c>
      <c r="E97" s="4">
        <v>1</v>
      </c>
      <c r="F97" s="5">
        <f t="shared" si="2"/>
        <v>200000</v>
      </c>
      <c r="G97" s="23">
        <f t="shared" si="3"/>
        <v>200000</v>
      </c>
      <c r="H97" s="3"/>
    </row>
    <row r="98" spans="2:11" x14ac:dyDescent="0.25">
      <c r="B98" s="15">
        <v>93</v>
      </c>
      <c r="C98" s="20" t="s">
        <v>40</v>
      </c>
      <c r="D98" s="4" t="s">
        <v>203</v>
      </c>
      <c r="E98" s="4">
        <v>2</v>
      </c>
      <c r="F98" s="5">
        <f t="shared" si="2"/>
        <v>200000</v>
      </c>
      <c r="G98" s="23">
        <f t="shared" si="3"/>
        <v>400000</v>
      </c>
      <c r="H98" s="3"/>
    </row>
    <row r="99" spans="2:11" x14ac:dyDescent="0.25">
      <c r="B99" s="15">
        <v>94</v>
      </c>
      <c r="C99" s="20" t="s">
        <v>38</v>
      </c>
      <c r="D99" s="4" t="s">
        <v>203</v>
      </c>
      <c r="E99" s="4">
        <v>1</v>
      </c>
      <c r="F99" s="5">
        <f t="shared" si="2"/>
        <v>200000</v>
      </c>
      <c r="G99" s="23">
        <f t="shared" si="3"/>
        <v>200000</v>
      </c>
      <c r="H99" s="3"/>
    </row>
    <row r="100" spans="2:11" x14ac:dyDescent="0.25">
      <c r="B100" s="15">
        <v>95</v>
      </c>
      <c r="C100" s="20" t="s">
        <v>37</v>
      </c>
      <c r="D100" s="4" t="s">
        <v>203</v>
      </c>
      <c r="E100" s="4">
        <v>1</v>
      </c>
      <c r="F100" s="5">
        <f t="shared" si="2"/>
        <v>200000</v>
      </c>
      <c r="G100" s="23">
        <f t="shared" si="3"/>
        <v>200000</v>
      </c>
      <c r="H100" s="3"/>
    </row>
    <row r="101" spans="2:11" x14ac:dyDescent="0.25">
      <c r="B101" s="15">
        <v>96</v>
      </c>
      <c r="C101" s="20" t="s">
        <v>36</v>
      </c>
      <c r="D101" s="4" t="s">
        <v>203</v>
      </c>
      <c r="E101" s="4">
        <v>1</v>
      </c>
      <c r="F101" s="5">
        <f t="shared" si="2"/>
        <v>200000</v>
      </c>
      <c r="G101" s="23">
        <f t="shared" si="3"/>
        <v>200000</v>
      </c>
      <c r="H101" s="3"/>
    </row>
    <row r="102" spans="2:11" x14ac:dyDescent="0.25">
      <c r="B102" s="15">
        <v>97</v>
      </c>
      <c r="C102" s="20" t="s">
        <v>31</v>
      </c>
      <c r="D102" s="4" t="s">
        <v>203</v>
      </c>
      <c r="E102" s="4">
        <v>2</v>
      </c>
      <c r="F102" s="5">
        <f t="shared" si="2"/>
        <v>200000</v>
      </c>
      <c r="G102" s="23">
        <f t="shared" si="3"/>
        <v>400000</v>
      </c>
      <c r="H102" s="3"/>
    </row>
    <row r="103" spans="2:11" x14ac:dyDescent="0.25">
      <c r="B103" s="15">
        <v>98</v>
      </c>
      <c r="C103" s="20" t="s">
        <v>30</v>
      </c>
      <c r="D103" s="4" t="s">
        <v>203</v>
      </c>
      <c r="E103" s="4">
        <v>2</v>
      </c>
      <c r="F103" s="5">
        <f t="shared" si="2"/>
        <v>200000</v>
      </c>
      <c r="G103" s="23">
        <f t="shared" si="3"/>
        <v>400000</v>
      </c>
      <c r="H103" s="3"/>
    </row>
    <row r="104" spans="2:11" x14ac:dyDescent="0.25">
      <c r="B104" s="15">
        <v>99</v>
      </c>
      <c r="C104" s="20" t="s">
        <v>27</v>
      </c>
      <c r="D104" s="4" t="s">
        <v>203</v>
      </c>
      <c r="E104" s="4">
        <v>1</v>
      </c>
      <c r="F104" s="5">
        <f t="shared" si="2"/>
        <v>200000</v>
      </c>
      <c r="G104" s="23">
        <f t="shared" si="3"/>
        <v>200000</v>
      </c>
      <c r="H104" s="3"/>
    </row>
    <row r="105" spans="2:11" x14ac:dyDescent="0.25">
      <c r="B105" s="15">
        <v>100</v>
      </c>
      <c r="C105" s="20" t="s">
        <v>24</v>
      </c>
      <c r="D105" s="4" t="s">
        <v>203</v>
      </c>
      <c r="E105" s="4">
        <v>2</v>
      </c>
      <c r="F105" s="5">
        <f t="shared" si="2"/>
        <v>200000</v>
      </c>
      <c r="G105" s="23">
        <f t="shared" si="3"/>
        <v>400000</v>
      </c>
      <c r="H105" s="3"/>
    </row>
    <row r="106" spans="2:11" x14ac:dyDescent="0.25">
      <c r="B106" s="15">
        <v>101</v>
      </c>
      <c r="C106" s="20" t="s">
        <v>23</v>
      </c>
      <c r="D106" s="4" t="s">
        <v>203</v>
      </c>
      <c r="E106" s="4">
        <v>1</v>
      </c>
      <c r="F106" s="5">
        <f t="shared" si="2"/>
        <v>200000</v>
      </c>
      <c r="G106" s="23">
        <f t="shared" si="3"/>
        <v>200000</v>
      </c>
      <c r="H106" s="3"/>
    </row>
    <row r="107" spans="2:11" x14ac:dyDescent="0.25">
      <c r="B107" s="15">
        <v>102</v>
      </c>
      <c r="C107" s="20" t="s">
        <v>22</v>
      </c>
      <c r="D107" s="4" t="s">
        <v>203</v>
      </c>
      <c r="E107" s="4">
        <v>3</v>
      </c>
      <c r="F107" s="5">
        <f t="shared" si="2"/>
        <v>200000</v>
      </c>
      <c r="G107" s="23">
        <f t="shared" si="3"/>
        <v>600000</v>
      </c>
      <c r="H107" s="3"/>
    </row>
    <row r="108" spans="2:11" x14ac:dyDescent="0.25">
      <c r="B108" s="15">
        <v>103</v>
      </c>
      <c r="C108" s="20" t="s">
        <v>21</v>
      </c>
      <c r="D108" s="4" t="s">
        <v>203</v>
      </c>
      <c r="E108" s="4">
        <v>1</v>
      </c>
      <c r="F108" s="5">
        <f t="shared" si="2"/>
        <v>200000</v>
      </c>
      <c r="G108" s="23">
        <f t="shared" si="3"/>
        <v>200000</v>
      </c>
      <c r="H108" s="3"/>
    </row>
    <row r="109" spans="2:11" s="18" customFormat="1" ht="30" x14ac:dyDescent="0.25">
      <c r="B109" s="15">
        <v>104</v>
      </c>
      <c r="C109" s="20" t="s">
        <v>18</v>
      </c>
      <c r="D109" s="4" t="s">
        <v>203</v>
      </c>
      <c r="E109" s="28">
        <v>1</v>
      </c>
      <c r="F109" s="5">
        <f t="shared" si="2"/>
        <v>200000</v>
      </c>
      <c r="G109" s="29">
        <f t="shared" si="3"/>
        <v>200000</v>
      </c>
      <c r="H109" s="28"/>
      <c r="J109" s="1"/>
      <c r="K109" s="2"/>
    </row>
    <row r="110" spans="2:11" ht="30" x14ac:dyDescent="0.25">
      <c r="B110" s="15">
        <v>105</v>
      </c>
      <c r="C110" s="20" t="s">
        <v>14</v>
      </c>
      <c r="D110" s="4" t="s">
        <v>203</v>
      </c>
      <c r="E110" s="4">
        <v>6</v>
      </c>
      <c r="F110" s="5">
        <f t="shared" si="2"/>
        <v>200000</v>
      </c>
      <c r="G110" s="23">
        <f t="shared" si="3"/>
        <v>1200000</v>
      </c>
      <c r="H110" s="3"/>
    </row>
    <row r="111" spans="2:11" x14ac:dyDescent="0.25">
      <c r="B111" s="15">
        <v>106</v>
      </c>
      <c r="C111" s="20" t="s">
        <v>13</v>
      </c>
      <c r="D111" s="4" t="s">
        <v>203</v>
      </c>
      <c r="E111" s="4">
        <v>1</v>
      </c>
      <c r="F111" s="5">
        <f t="shared" si="2"/>
        <v>200000</v>
      </c>
      <c r="G111" s="23">
        <f t="shared" si="3"/>
        <v>200000</v>
      </c>
      <c r="H111" s="3"/>
    </row>
    <row r="112" spans="2:11" x14ac:dyDescent="0.25">
      <c r="B112" s="15">
        <v>107</v>
      </c>
      <c r="C112" s="20" t="s">
        <v>12</v>
      </c>
      <c r="D112" s="4" t="s">
        <v>203</v>
      </c>
      <c r="E112" s="4">
        <v>4</v>
      </c>
      <c r="F112" s="5">
        <f t="shared" si="2"/>
        <v>200000</v>
      </c>
      <c r="G112" s="23">
        <f t="shared" si="3"/>
        <v>800000</v>
      </c>
      <c r="H112" s="3"/>
    </row>
    <row r="113" spans="2:8" x14ac:dyDescent="0.25">
      <c r="B113" s="15">
        <v>108</v>
      </c>
      <c r="C113" s="20" t="s">
        <v>11</v>
      </c>
      <c r="D113" s="4" t="s">
        <v>203</v>
      </c>
      <c r="E113" s="4">
        <v>1</v>
      </c>
      <c r="F113" s="5">
        <f t="shared" si="2"/>
        <v>200000</v>
      </c>
      <c r="G113" s="23">
        <f t="shared" si="3"/>
        <v>200000</v>
      </c>
      <c r="H113" s="3"/>
    </row>
    <row r="114" spans="2:8" x14ac:dyDescent="0.25">
      <c r="B114" s="15">
        <v>109</v>
      </c>
      <c r="C114" s="20" t="s">
        <v>10</v>
      </c>
      <c r="D114" s="4" t="s">
        <v>203</v>
      </c>
      <c r="E114" s="4">
        <v>1</v>
      </c>
      <c r="F114" s="5">
        <f t="shared" si="2"/>
        <v>200000</v>
      </c>
      <c r="G114" s="23">
        <f t="shared" si="3"/>
        <v>200000</v>
      </c>
      <c r="H114" s="3"/>
    </row>
    <row r="115" spans="2:8" x14ac:dyDescent="0.25">
      <c r="B115" s="15">
        <v>110</v>
      </c>
      <c r="C115" s="20" t="s">
        <v>9</v>
      </c>
      <c r="D115" s="4" t="s">
        <v>203</v>
      </c>
      <c r="E115" s="4">
        <v>1</v>
      </c>
      <c r="F115" s="5">
        <f t="shared" si="2"/>
        <v>200000</v>
      </c>
      <c r="G115" s="23">
        <f t="shared" si="3"/>
        <v>200000</v>
      </c>
      <c r="H115" s="3"/>
    </row>
    <row r="116" spans="2:8" x14ac:dyDescent="0.25">
      <c r="B116" s="15">
        <v>111</v>
      </c>
      <c r="C116" s="20" t="s">
        <v>8</v>
      </c>
      <c r="D116" s="4" t="s">
        <v>203</v>
      </c>
      <c r="E116" s="4">
        <v>1</v>
      </c>
      <c r="F116" s="5">
        <f t="shared" si="2"/>
        <v>200000</v>
      </c>
      <c r="G116" s="23">
        <f t="shared" si="3"/>
        <v>200000</v>
      </c>
      <c r="H116" s="3"/>
    </row>
    <row r="117" spans="2:8" x14ac:dyDescent="0.25">
      <c r="B117" s="15">
        <v>112</v>
      </c>
      <c r="C117" s="20" t="s">
        <v>7</v>
      </c>
      <c r="D117" s="4" t="s">
        <v>203</v>
      </c>
      <c r="E117" s="4">
        <v>4</v>
      </c>
      <c r="F117" s="5">
        <f t="shared" si="2"/>
        <v>200000</v>
      </c>
      <c r="G117" s="23">
        <f t="shared" si="3"/>
        <v>800000</v>
      </c>
      <c r="H117" s="3"/>
    </row>
    <row r="118" spans="2:8" x14ac:dyDescent="0.25">
      <c r="B118" s="15">
        <v>113</v>
      </c>
      <c r="C118" s="20" t="s">
        <v>6</v>
      </c>
      <c r="D118" s="4" t="s">
        <v>203</v>
      </c>
      <c r="E118" s="4">
        <v>2</v>
      </c>
      <c r="F118" s="5">
        <f t="shared" si="2"/>
        <v>200000</v>
      </c>
      <c r="G118" s="23">
        <f t="shared" si="3"/>
        <v>400000</v>
      </c>
      <c r="H118" s="3"/>
    </row>
    <row r="119" spans="2:8" x14ac:dyDescent="0.25">
      <c r="B119" s="15">
        <v>114</v>
      </c>
      <c r="C119" s="20" t="s">
        <v>5</v>
      </c>
      <c r="D119" s="4" t="s">
        <v>203</v>
      </c>
      <c r="E119" s="4">
        <v>4</v>
      </c>
      <c r="F119" s="5">
        <f t="shared" si="2"/>
        <v>200000</v>
      </c>
      <c r="G119" s="23">
        <f t="shared" si="3"/>
        <v>800000</v>
      </c>
      <c r="H119" s="3"/>
    </row>
    <row r="120" spans="2:8" x14ac:dyDescent="0.25">
      <c r="B120" s="15">
        <v>115</v>
      </c>
      <c r="C120" s="20" t="s">
        <v>4</v>
      </c>
      <c r="D120" s="4" t="s">
        <v>203</v>
      </c>
      <c r="E120" s="4">
        <v>3</v>
      </c>
      <c r="F120" s="5">
        <f t="shared" si="2"/>
        <v>200000</v>
      </c>
      <c r="G120" s="23">
        <f t="shared" si="3"/>
        <v>600000</v>
      </c>
      <c r="H120" s="3"/>
    </row>
    <row r="121" spans="2:8" ht="45" x14ac:dyDescent="0.25">
      <c r="B121" s="15">
        <v>116</v>
      </c>
      <c r="C121" s="49" t="s">
        <v>332</v>
      </c>
      <c r="D121" s="4" t="s">
        <v>203</v>
      </c>
      <c r="E121" s="4">
        <v>3</v>
      </c>
      <c r="F121" s="5">
        <f t="shared" si="2"/>
        <v>200000</v>
      </c>
      <c r="G121" s="23">
        <f t="shared" si="3"/>
        <v>600000</v>
      </c>
      <c r="H121" s="3"/>
    </row>
    <row r="122" spans="2:8" x14ac:dyDescent="0.25">
      <c r="B122" s="15">
        <v>117</v>
      </c>
      <c r="C122" s="49" t="s">
        <v>333</v>
      </c>
      <c r="D122" s="4" t="s">
        <v>203</v>
      </c>
      <c r="E122" s="4">
        <v>1</v>
      </c>
      <c r="F122" s="5">
        <f t="shared" si="2"/>
        <v>200000</v>
      </c>
      <c r="G122" s="23">
        <f t="shared" si="3"/>
        <v>200000</v>
      </c>
      <c r="H122" s="3"/>
    </row>
    <row r="123" spans="2:8" x14ac:dyDescent="0.25">
      <c r="B123" s="15">
        <v>118</v>
      </c>
      <c r="C123" s="49" t="s">
        <v>334</v>
      </c>
      <c r="D123" s="4" t="s">
        <v>203</v>
      </c>
      <c r="E123" s="4">
        <v>1</v>
      </c>
      <c r="F123" s="5">
        <f>_xlfn.IFS(D123="GOLD",200000,D123="SILVER",150000,D123="REGULER",110000)</f>
        <v>200000</v>
      </c>
      <c r="G123" s="23">
        <f t="shared" si="3"/>
        <v>200000</v>
      </c>
      <c r="H123" s="3"/>
    </row>
    <row r="124" spans="2:8" x14ac:dyDescent="0.25">
      <c r="B124" s="15">
        <v>119</v>
      </c>
      <c r="C124" s="49" t="s">
        <v>335</v>
      </c>
      <c r="D124" s="4" t="s">
        <v>203</v>
      </c>
      <c r="E124" s="4">
        <v>1</v>
      </c>
      <c r="F124" s="5">
        <f t="shared" si="2"/>
        <v>200000</v>
      </c>
      <c r="G124" s="23">
        <f t="shared" si="3"/>
        <v>200000</v>
      </c>
      <c r="H124" s="3"/>
    </row>
    <row r="125" spans="2:8" ht="30" x14ac:dyDescent="0.25">
      <c r="B125" s="15">
        <v>120</v>
      </c>
      <c r="C125" s="49" t="s">
        <v>319</v>
      </c>
      <c r="D125" s="4" t="s">
        <v>203</v>
      </c>
      <c r="E125" s="4">
        <v>1</v>
      </c>
      <c r="F125" s="5">
        <f t="shared" si="2"/>
        <v>200000</v>
      </c>
      <c r="G125" s="23">
        <f t="shared" si="3"/>
        <v>200000</v>
      </c>
      <c r="H125" s="3"/>
    </row>
    <row r="126" spans="2:8" x14ac:dyDescent="0.25">
      <c r="B126" s="15">
        <v>121</v>
      </c>
      <c r="C126" s="49" t="s">
        <v>312</v>
      </c>
      <c r="D126" s="4" t="s">
        <v>203</v>
      </c>
      <c r="E126" s="4">
        <v>2</v>
      </c>
      <c r="F126" s="5">
        <f t="shared" si="2"/>
        <v>200000</v>
      </c>
      <c r="G126" s="23">
        <f t="shared" si="3"/>
        <v>400000</v>
      </c>
      <c r="H126" s="3"/>
    </row>
    <row r="127" spans="2:8" x14ac:dyDescent="0.25">
      <c r="B127" s="15">
        <v>122</v>
      </c>
      <c r="C127" s="49" t="s">
        <v>270</v>
      </c>
      <c r="D127" s="4" t="s">
        <v>203</v>
      </c>
      <c r="E127" s="4">
        <v>1</v>
      </c>
      <c r="F127" s="5">
        <f t="shared" si="2"/>
        <v>200000</v>
      </c>
      <c r="G127" s="23">
        <f t="shared" si="3"/>
        <v>200000</v>
      </c>
      <c r="H127" s="3"/>
    </row>
  </sheetData>
  <mergeCells count="4">
    <mergeCell ref="J1:P1"/>
    <mergeCell ref="M3:N3"/>
    <mergeCell ref="H2:H3"/>
    <mergeCell ref="I2:I3"/>
  </mergeCells>
  <conditionalFormatting sqref="C121:C126">
    <cfRule type="duplicateValues" dxfId="486" priority="2"/>
  </conditionalFormatting>
  <conditionalFormatting sqref="C127">
    <cfRule type="duplicateValues" dxfId="485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B344-DDEC-4569-8784-B40BD4C70C40}">
  <dimension ref="B1:Q137"/>
  <sheetViews>
    <sheetView workbookViewId="0">
      <selection activeCell="L6" sqref="L6:N8"/>
    </sheetView>
  </sheetViews>
  <sheetFormatPr defaultRowHeight="15" x14ac:dyDescent="0.25"/>
  <cols>
    <col min="2" max="2" width="9.140625" style="1"/>
    <col min="3" max="3" width="23.140625" customWidth="1"/>
    <col min="4" max="4" width="12" style="42" customWidth="1"/>
    <col min="5" max="5" width="14.28515625" style="1" customWidth="1"/>
    <col min="6" max="6" width="13.7109375" customWidth="1"/>
    <col min="7" max="7" width="13.5703125" customWidth="1"/>
    <col min="8" max="8" width="12.28515625" customWidth="1"/>
    <col min="10" max="10" width="7.42578125" customWidth="1"/>
    <col min="11" max="11" width="7" bestFit="1" customWidth="1"/>
    <col min="12" max="12" width="17.85546875" customWidth="1"/>
    <col min="14" max="14" width="8" customWidth="1"/>
    <col min="15" max="15" width="15.28515625" customWidth="1"/>
    <col min="16" max="16" width="14.7109375" customWidth="1"/>
  </cols>
  <sheetData>
    <row r="1" spans="2:17" x14ac:dyDescent="0.25">
      <c r="K1" s="81" t="s">
        <v>322</v>
      </c>
      <c r="L1" s="81"/>
      <c r="M1" s="81"/>
      <c r="N1" s="81"/>
      <c r="O1" s="81"/>
      <c r="P1" s="81"/>
      <c r="Q1" s="81"/>
    </row>
    <row r="2" spans="2:17" x14ac:dyDescent="0.25">
      <c r="C2" s="21" t="s">
        <v>298</v>
      </c>
      <c r="D2" s="43">
        <f>SUM(E5:E296)</f>
        <v>207</v>
      </c>
      <c r="F2" s="21" t="s">
        <v>295</v>
      </c>
      <c r="G2" s="25">
        <f>SUM(G5:G296)</f>
        <v>31050000</v>
      </c>
      <c r="I2" s="84" t="s">
        <v>3</v>
      </c>
      <c r="J2" s="83">
        <f>L3+D2</f>
        <v>287</v>
      </c>
      <c r="K2" s="17"/>
      <c r="L2" s="17"/>
      <c r="M2" s="17"/>
      <c r="N2" s="17"/>
      <c r="O2" s="17"/>
      <c r="P2" s="17"/>
      <c r="Q2" s="17"/>
    </row>
    <row r="3" spans="2:17" x14ac:dyDescent="0.25">
      <c r="I3" s="84"/>
      <c r="J3" s="83"/>
      <c r="K3" s="1" t="s">
        <v>326</v>
      </c>
      <c r="L3" s="2">
        <f>SUM(N6:N9)</f>
        <v>80</v>
      </c>
      <c r="N3" s="82" t="s">
        <v>295</v>
      </c>
      <c r="O3" s="82"/>
      <c r="P3" s="24">
        <f>SUM(P6:P9)</f>
        <v>12000000</v>
      </c>
    </row>
    <row r="4" spans="2:17" x14ac:dyDescent="0.25">
      <c r="B4" s="19" t="s">
        <v>288</v>
      </c>
      <c r="C4" s="19" t="s">
        <v>289</v>
      </c>
      <c r="D4" s="26" t="s">
        <v>299</v>
      </c>
      <c r="E4" s="19" t="s">
        <v>300</v>
      </c>
      <c r="F4" s="19" t="s">
        <v>290</v>
      </c>
      <c r="G4" s="19" t="s">
        <v>291</v>
      </c>
      <c r="H4" s="19" t="s">
        <v>292</v>
      </c>
      <c r="K4" s="1"/>
      <c r="L4" s="2"/>
    </row>
    <row r="5" spans="2:17" s="18" customFormat="1" ht="31.5" x14ac:dyDescent="0.25">
      <c r="B5" s="4">
        <v>1</v>
      </c>
      <c r="C5" s="31" t="s">
        <v>287</v>
      </c>
      <c r="D5" s="36" t="s">
        <v>32</v>
      </c>
      <c r="E5" s="32">
        <v>1</v>
      </c>
      <c r="F5" s="5">
        <f>_xlfn.IFS(D5="GOLD",200000,D5="SILVER",150000,D5="REGULER",110000)</f>
        <v>150000</v>
      </c>
      <c r="G5" s="29">
        <f>E5*F5</f>
        <v>150000</v>
      </c>
      <c r="H5" s="28"/>
      <c r="K5" s="19" t="s">
        <v>288</v>
      </c>
      <c r="L5" s="19" t="s">
        <v>289</v>
      </c>
      <c r="M5" s="19" t="s">
        <v>299</v>
      </c>
      <c r="N5" s="19" t="s">
        <v>300</v>
      </c>
      <c r="O5" s="19" t="s">
        <v>290</v>
      </c>
      <c r="P5" s="19" t="s">
        <v>291</v>
      </c>
      <c r="Q5" s="19" t="s">
        <v>292</v>
      </c>
    </row>
    <row r="6" spans="2:17" s="18" customFormat="1" ht="45" x14ac:dyDescent="0.25">
      <c r="B6" s="4">
        <v>2</v>
      </c>
      <c r="C6" s="31" t="s">
        <v>275</v>
      </c>
      <c r="D6" s="36" t="s">
        <v>32</v>
      </c>
      <c r="E6" s="32">
        <v>3</v>
      </c>
      <c r="F6" s="5">
        <f t="shared" ref="F6:F69" si="0">_xlfn.IFS(D6="GOLD",200000,D6="SILVER",150000,D6="REGULER",110000)</f>
        <v>150000</v>
      </c>
      <c r="G6" s="29">
        <f t="shared" ref="G6:G69" si="1">E6*F6</f>
        <v>450000</v>
      </c>
      <c r="H6" s="28"/>
      <c r="K6" s="28">
        <v>1</v>
      </c>
      <c r="L6" s="28" t="s">
        <v>192</v>
      </c>
      <c r="M6" s="28" t="s">
        <v>34</v>
      </c>
      <c r="N6" s="7">
        <v>20</v>
      </c>
      <c r="O6" s="5">
        <f>_xlfn.IFS(M6="GOLD",200000,M6="SILVER",150000,M6="REGULER",110000)</f>
        <v>150000</v>
      </c>
      <c r="P6" s="29">
        <f>O6*N6</f>
        <v>3000000</v>
      </c>
      <c r="Q6" s="45" t="s">
        <v>331</v>
      </c>
    </row>
    <row r="7" spans="2:17" ht="15.75" x14ac:dyDescent="0.25">
      <c r="B7" s="4">
        <v>3</v>
      </c>
      <c r="C7" s="22" t="s">
        <v>301</v>
      </c>
      <c r="D7" s="41" t="s">
        <v>32</v>
      </c>
      <c r="E7" s="32">
        <v>1</v>
      </c>
      <c r="F7" s="5">
        <f>_xlfn.IFS(D7="GOLD",200000,D7="SILVER",150000,D7="REGULER",110000)</f>
        <v>150000</v>
      </c>
      <c r="G7" s="23">
        <f t="shared" si="1"/>
        <v>150000</v>
      </c>
      <c r="H7" s="3"/>
      <c r="K7" s="3"/>
      <c r="L7" s="3" t="s">
        <v>327</v>
      </c>
      <c r="M7" s="3" t="s">
        <v>34</v>
      </c>
      <c r="N7" s="3">
        <v>50</v>
      </c>
      <c r="O7" s="5">
        <f>_xlfn.IFS(M7="GOLD",200000,M7="SILVER",150000,M7="REGULER",110000)</f>
        <v>150000</v>
      </c>
      <c r="P7" s="23">
        <f>O7*N7</f>
        <v>7500000</v>
      </c>
      <c r="Q7" s="3"/>
    </row>
    <row r="8" spans="2:17" ht="15.75" x14ac:dyDescent="0.25">
      <c r="B8" s="4">
        <v>4</v>
      </c>
      <c r="C8" s="22" t="s">
        <v>267</v>
      </c>
      <c r="D8" s="41" t="s">
        <v>32</v>
      </c>
      <c r="E8" s="32">
        <v>1</v>
      </c>
      <c r="F8" s="5">
        <f t="shared" si="0"/>
        <v>150000</v>
      </c>
      <c r="G8" s="23">
        <f t="shared" si="1"/>
        <v>150000</v>
      </c>
      <c r="H8" s="3"/>
      <c r="K8" s="3"/>
      <c r="L8" s="3" t="s">
        <v>309</v>
      </c>
      <c r="M8" s="3" t="s">
        <v>34</v>
      </c>
      <c r="N8" s="3">
        <v>10</v>
      </c>
      <c r="O8" s="5">
        <f>_xlfn.IFS(M8="GOLD",200000,M8="SILVER",150000,M8="REGULER",110000)</f>
        <v>150000</v>
      </c>
      <c r="P8" s="23">
        <f>O8*N8</f>
        <v>1500000</v>
      </c>
      <c r="Q8" s="3"/>
    </row>
    <row r="9" spans="2:17" ht="15.75" x14ac:dyDescent="0.25">
      <c r="B9" s="4">
        <v>5</v>
      </c>
      <c r="C9" s="22" t="s">
        <v>259</v>
      </c>
      <c r="D9" s="41" t="s">
        <v>32</v>
      </c>
      <c r="E9" s="32">
        <v>1</v>
      </c>
      <c r="F9" s="5">
        <f t="shared" si="0"/>
        <v>150000</v>
      </c>
      <c r="G9" s="23">
        <f t="shared" si="1"/>
        <v>150000</v>
      </c>
      <c r="H9" s="3"/>
    </row>
    <row r="10" spans="2:17" ht="15.75" x14ac:dyDescent="0.25">
      <c r="B10" s="4">
        <v>6</v>
      </c>
      <c r="C10" s="22" t="s">
        <v>261</v>
      </c>
      <c r="D10" s="41" t="s">
        <v>32</v>
      </c>
      <c r="E10" s="32">
        <v>2</v>
      </c>
      <c r="F10" s="5">
        <f t="shared" si="0"/>
        <v>150000</v>
      </c>
      <c r="G10" s="23">
        <f t="shared" si="1"/>
        <v>300000</v>
      </c>
      <c r="H10" s="3"/>
    </row>
    <row r="11" spans="2:17" ht="15.75" x14ac:dyDescent="0.25">
      <c r="B11" s="4">
        <v>7</v>
      </c>
      <c r="C11" s="22" t="s">
        <v>262</v>
      </c>
      <c r="D11" s="41" t="s">
        <v>32</v>
      </c>
      <c r="E11" s="32">
        <v>1</v>
      </c>
      <c r="F11" s="5">
        <f t="shared" si="0"/>
        <v>150000</v>
      </c>
      <c r="G11" s="23">
        <f t="shared" si="1"/>
        <v>150000</v>
      </c>
      <c r="H11" s="3"/>
    </row>
    <row r="12" spans="2:17" ht="15.75" x14ac:dyDescent="0.25">
      <c r="B12" s="4">
        <v>8</v>
      </c>
      <c r="C12" s="22" t="s">
        <v>266</v>
      </c>
      <c r="D12" s="41" t="s">
        <v>32</v>
      </c>
      <c r="E12" s="32">
        <v>2</v>
      </c>
      <c r="F12" s="5">
        <f t="shared" si="0"/>
        <v>150000</v>
      </c>
      <c r="G12" s="23">
        <f t="shared" si="1"/>
        <v>300000</v>
      </c>
      <c r="H12" s="3"/>
    </row>
    <row r="13" spans="2:17" ht="15.75" x14ac:dyDescent="0.25">
      <c r="B13" s="4">
        <v>9</v>
      </c>
      <c r="C13" s="22" t="s">
        <v>258</v>
      </c>
      <c r="D13" s="41" t="s">
        <v>32</v>
      </c>
      <c r="E13" s="32">
        <v>1</v>
      </c>
      <c r="F13" s="5">
        <f t="shared" si="0"/>
        <v>150000</v>
      </c>
      <c r="G13" s="23">
        <f t="shared" si="1"/>
        <v>150000</v>
      </c>
      <c r="H13" s="3"/>
    </row>
    <row r="14" spans="2:17" ht="15.75" x14ac:dyDescent="0.25">
      <c r="B14" s="4">
        <v>10</v>
      </c>
      <c r="C14" s="22" t="s">
        <v>121</v>
      </c>
      <c r="D14" s="41" t="s">
        <v>32</v>
      </c>
      <c r="E14" s="32">
        <v>2</v>
      </c>
      <c r="F14" s="5">
        <f t="shared" si="0"/>
        <v>150000</v>
      </c>
      <c r="G14" s="23">
        <f t="shared" si="1"/>
        <v>300000</v>
      </c>
      <c r="H14" s="3"/>
    </row>
    <row r="15" spans="2:17" ht="15.75" x14ac:dyDescent="0.25">
      <c r="B15" s="4">
        <v>11</v>
      </c>
      <c r="C15" s="22" t="s">
        <v>250</v>
      </c>
      <c r="D15" s="41" t="s">
        <v>32</v>
      </c>
      <c r="E15" s="32">
        <v>1</v>
      </c>
      <c r="F15" s="5">
        <f t="shared" si="0"/>
        <v>150000</v>
      </c>
      <c r="G15" s="23">
        <f t="shared" si="1"/>
        <v>150000</v>
      </c>
      <c r="H15" s="3"/>
    </row>
    <row r="16" spans="2:17" ht="15.75" x14ac:dyDescent="0.25">
      <c r="B16" s="4">
        <v>12</v>
      </c>
      <c r="C16" s="22" t="s">
        <v>247</v>
      </c>
      <c r="D16" s="41" t="s">
        <v>32</v>
      </c>
      <c r="E16" s="32">
        <v>2</v>
      </c>
      <c r="F16" s="5">
        <f t="shared" si="0"/>
        <v>150000</v>
      </c>
      <c r="G16" s="23">
        <f t="shared" si="1"/>
        <v>300000</v>
      </c>
      <c r="H16" s="3"/>
    </row>
    <row r="17" spans="2:8" ht="15.75" x14ac:dyDescent="0.25">
      <c r="B17" s="4">
        <v>13</v>
      </c>
      <c r="C17" s="22" t="s">
        <v>246</v>
      </c>
      <c r="D17" s="41" t="s">
        <v>32</v>
      </c>
      <c r="E17" s="32">
        <v>1</v>
      </c>
      <c r="F17" s="5">
        <f t="shared" si="0"/>
        <v>150000</v>
      </c>
      <c r="G17" s="23">
        <f t="shared" si="1"/>
        <v>150000</v>
      </c>
      <c r="H17" s="3"/>
    </row>
    <row r="18" spans="2:8" ht="15.75" x14ac:dyDescent="0.25">
      <c r="B18" s="4">
        <v>14</v>
      </c>
      <c r="C18" s="22" t="s">
        <v>245</v>
      </c>
      <c r="D18" s="41" t="s">
        <v>32</v>
      </c>
      <c r="E18" s="32">
        <v>2</v>
      </c>
      <c r="F18" s="5">
        <f t="shared" si="0"/>
        <v>150000</v>
      </c>
      <c r="G18" s="23">
        <f t="shared" si="1"/>
        <v>300000</v>
      </c>
      <c r="H18" s="3"/>
    </row>
    <row r="19" spans="2:8" ht="15.75" x14ac:dyDescent="0.25">
      <c r="B19" s="4">
        <v>15</v>
      </c>
      <c r="C19" s="22" t="s">
        <v>244</v>
      </c>
      <c r="D19" s="41" t="s">
        <v>32</v>
      </c>
      <c r="E19" s="32">
        <v>1</v>
      </c>
      <c r="F19" s="5">
        <f t="shared" si="0"/>
        <v>150000</v>
      </c>
      <c r="G19" s="23">
        <f t="shared" si="1"/>
        <v>150000</v>
      </c>
      <c r="H19" s="3"/>
    </row>
    <row r="20" spans="2:8" ht="15.75" x14ac:dyDescent="0.25">
      <c r="B20" s="4">
        <v>16</v>
      </c>
      <c r="C20" s="22" t="s">
        <v>243</v>
      </c>
      <c r="D20" s="41" t="s">
        <v>32</v>
      </c>
      <c r="E20" s="32">
        <v>2</v>
      </c>
      <c r="F20" s="5">
        <f t="shared" si="0"/>
        <v>150000</v>
      </c>
      <c r="G20" s="23">
        <f t="shared" si="1"/>
        <v>300000</v>
      </c>
      <c r="H20" s="3"/>
    </row>
    <row r="21" spans="2:8" ht="15.75" x14ac:dyDescent="0.25">
      <c r="B21" s="4">
        <v>17</v>
      </c>
      <c r="C21" s="22" t="s">
        <v>249</v>
      </c>
      <c r="D21" s="41" t="s">
        <v>32</v>
      </c>
      <c r="E21" s="32">
        <v>1</v>
      </c>
      <c r="F21" s="5">
        <f t="shared" si="0"/>
        <v>150000</v>
      </c>
      <c r="G21" s="23">
        <f t="shared" si="1"/>
        <v>150000</v>
      </c>
      <c r="H21" s="3"/>
    </row>
    <row r="22" spans="2:8" ht="15.75" x14ac:dyDescent="0.25">
      <c r="B22" s="4">
        <v>18</v>
      </c>
      <c r="C22" s="22" t="s">
        <v>252</v>
      </c>
      <c r="D22" s="41" t="s">
        <v>32</v>
      </c>
      <c r="E22" s="32">
        <v>2</v>
      </c>
      <c r="F22" s="5">
        <f t="shared" si="0"/>
        <v>150000</v>
      </c>
      <c r="G22" s="23">
        <f t="shared" si="1"/>
        <v>300000</v>
      </c>
      <c r="H22" s="3"/>
    </row>
    <row r="23" spans="2:8" ht="15.75" x14ac:dyDescent="0.25">
      <c r="B23" s="4">
        <v>19</v>
      </c>
      <c r="C23" s="22" t="s">
        <v>242</v>
      </c>
      <c r="D23" s="41" t="s">
        <v>32</v>
      </c>
      <c r="E23" s="32">
        <v>1</v>
      </c>
      <c r="F23" s="5">
        <f t="shared" si="0"/>
        <v>150000</v>
      </c>
      <c r="G23" s="23">
        <f t="shared" si="1"/>
        <v>150000</v>
      </c>
      <c r="H23" s="3"/>
    </row>
    <row r="24" spans="2:8" ht="15.75" x14ac:dyDescent="0.25">
      <c r="B24" s="4">
        <v>20</v>
      </c>
      <c r="C24" s="22" t="s">
        <v>253</v>
      </c>
      <c r="D24" s="41" t="s">
        <v>32</v>
      </c>
      <c r="E24" s="32">
        <v>3</v>
      </c>
      <c r="F24" s="5">
        <f t="shared" si="0"/>
        <v>150000</v>
      </c>
      <c r="G24" s="23">
        <f t="shared" si="1"/>
        <v>450000</v>
      </c>
      <c r="H24" s="3"/>
    </row>
    <row r="25" spans="2:8" ht="15.75" x14ac:dyDescent="0.25">
      <c r="B25" s="4">
        <v>21</v>
      </c>
      <c r="C25" s="22" t="s">
        <v>240</v>
      </c>
      <c r="D25" s="41" t="s">
        <v>32</v>
      </c>
      <c r="E25" s="32">
        <v>1</v>
      </c>
      <c r="F25" s="5">
        <f t="shared" si="0"/>
        <v>150000</v>
      </c>
      <c r="G25" s="23">
        <f t="shared" si="1"/>
        <v>150000</v>
      </c>
      <c r="H25" s="3"/>
    </row>
    <row r="26" spans="2:8" ht="15.75" x14ac:dyDescent="0.25">
      <c r="B26" s="4">
        <v>22</v>
      </c>
      <c r="C26" s="22" t="s">
        <v>241</v>
      </c>
      <c r="D26" s="41" t="s">
        <v>32</v>
      </c>
      <c r="E26" s="32">
        <v>1</v>
      </c>
      <c r="F26" s="5">
        <f t="shared" si="0"/>
        <v>150000</v>
      </c>
      <c r="G26" s="23">
        <f t="shared" si="1"/>
        <v>150000</v>
      </c>
      <c r="H26" s="3"/>
    </row>
    <row r="27" spans="2:8" ht="15.75" x14ac:dyDescent="0.25">
      <c r="B27" s="4">
        <v>23</v>
      </c>
      <c r="C27" s="22" t="s">
        <v>237</v>
      </c>
      <c r="D27" s="41" t="s">
        <v>32</v>
      </c>
      <c r="E27" s="32">
        <v>1</v>
      </c>
      <c r="F27" s="5">
        <f t="shared" si="0"/>
        <v>150000</v>
      </c>
      <c r="G27" s="23">
        <f t="shared" si="1"/>
        <v>150000</v>
      </c>
      <c r="H27" s="3"/>
    </row>
    <row r="28" spans="2:8" ht="15.75" x14ac:dyDescent="0.25">
      <c r="B28" s="4">
        <v>24</v>
      </c>
      <c r="C28" s="22" t="s">
        <v>229</v>
      </c>
      <c r="D28" s="41" t="s">
        <v>32</v>
      </c>
      <c r="E28" s="32">
        <v>3</v>
      </c>
      <c r="F28" s="5">
        <f t="shared" si="0"/>
        <v>150000</v>
      </c>
      <c r="G28" s="23">
        <f t="shared" si="1"/>
        <v>450000</v>
      </c>
      <c r="H28" s="3"/>
    </row>
    <row r="29" spans="2:8" ht="15.75" x14ac:dyDescent="0.25">
      <c r="B29" s="4">
        <v>25</v>
      </c>
      <c r="C29" s="22" t="s">
        <v>236</v>
      </c>
      <c r="D29" s="41" t="s">
        <v>32</v>
      </c>
      <c r="E29" s="32">
        <v>1</v>
      </c>
      <c r="F29" s="5">
        <f t="shared" si="0"/>
        <v>150000</v>
      </c>
      <c r="G29" s="23">
        <f t="shared" si="1"/>
        <v>150000</v>
      </c>
      <c r="H29" s="3"/>
    </row>
    <row r="30" spans="2:8" ht="15.75" x14ac:dyDescent="0.25">
      <c r="B30" s="4">
        <v>26</v>
      </c>
      <c r="C30" s="22" t="s">
        <v>238</v>
      </c>
      <c r="D30" s="41" t="s">
        <v>32</v>
      </c>
      <c r="E30" s="32">
        <v>2</v>
      </c>
      <c r="F30" s="5">
        <f t="shared" si="0"/>
        <v>150000</v>
      </c>
      <c r="G30" s="23">
        <f t="shared" si="1"/>
        <v>300000</v>
      </c>
      <c r="H30" s="3"/>
    </row>
    <row r="31" spans="2:8" s="18" customFormat="1" ht="31.5" x14ac:dyDescent="0.25">
      <c r="B31" s="4">
        <v>27</v>
      </c>
      <c r="C31" s="31" t="s">
        <v>232</v>
      </c>
      <c r="D31" s="36" t="s">
        <v>32</v>
      </c>
      <c r="E31" s="32">
        <v>2</v>
      </c>
      <c r="F31" s="5">
        <f t="shared" si="0"/>
        <v>150000</v>
      </c>
      <c r="G31" s="29">
        <f t="shared" si="1"/>
        <v>300000</v>
      </c>
      <c r="H31" s="28"/>
    </row>
    <row r="32" spans="2:8" ht="15.75" x14ac:dyDescent="0.25">
      <c r="B32" s="4">
        <v>28</v>
      </c>
      <c r="C32" s="22" t="s">
        <v>231</v>
      </c>
      <c r="D32" s="41" t="s">
        <v>32</v>
      </c>
      <c r="E32" s="32">
        <v>2</v>
      </c>
      <c r="F32" s="5">
        <f t="shared" si="0"/>
        <v>150000</v>
      </c>
      <c r="G32" s="23">
        <f t="shared" si="1"/>
        <v>300000</v>
      </c>
      <c r="H32" s="3"/>
    </row>
    <row r="33" spans="2:8" ht="15.75" x14ac:dyDescent="0.25">
      <c r="B33" s="4">
        <v>29</v>
      </c>
      <c r="C33" s="22" t="s">
        <v>230</v>
      </c>
      <c r="D33" s="41" t="s">
        <v>32</v>
      </c>
      <c r="E33" s="32">
        <v>1</v>
      </c>
      <c r="F33" s="5">
        <f t="shared" si="0"/>
        <v>150000</v>
      </c>
      <c r="G33" s="23">
        <f t="shared" si="1"/>
        <v>150000</v>
      </c>
      <c r="H33" s="3"/>
    </row>
    <row r="34" spans="2:8" ht="15.75" x14ac:dyDescent="0.25">
      <c r="B34" s="4">
        <v>30</v>
      </c>
      <c r="C34" s="22" t="s">
        <v>235</v>
      </c>
      <c r="D34" s="41" t="s">
        <v>32</v>
      </c>
      <c r="E34" s="32">
        <v>1</v>
      </c>
      <c r="F34" s="5">
        <f t="shared" si="0"/>
        <v>150000</v>
      </c>
      <c r="G34" s="23">
        <f t="shared" si="1"/>
        <v>150000</v>
      </c>
      <c r="H34" s="3"/>
    </row>
    <row r="35" spans="2:8" ht="15.75" x14ac:dyDescent="0.25">
      <c r="B35" s="4">
        <v>31</v>
      </c>
      <c r="C35" s="22" t="s">
        <v>223</v>
      </c>
      <c r="D35" s="41" t="s">
        <v>32</v>
      </c>
      <c r="E35" s="32">
        <v>2</v>
      </c>
      <c r="F35" s="5">
        <f t="shared" si="0"/>
        <v>150000</v>
      </c>
      <c r="G35" s="23">
        <f t="shared" si="1"/>
        <v>300000</v>
      </c>
      <c r="H35" s="3"/>
    </row>
    <row r="36" spans="2:8" ht="15.75" x14ac:dyDescent="0.25">
      <c r="B36" s="4">
        <v>32</v>
      </c>
      <c r="C36" s="22" t="s">
        <v>222</v>
      </c>
      <c r="D36" s="41" t="s">
        <v>32</v>
      </c>
      <c r="E36" s="32">
        <v>4</v>
      </c>
      <c r="F36" s="5">
        <f t="shared" si="0"/>
        <v>150000</v>
      </c>
      <c r="G36" s="23">
        <f t="shared" si="1"/>
        <v>600000</v>
      </c>
      <c r="H36" s="3"/>
    </row>
    <row r="37" spans="2:8" ht="15.75" x14ac:dyDescent="0.25">
      <c r="B37" s="4">
        <v>33</v>
      </c>
      <c r="C37" s="22" t="s">
        <v>224</v>
      </c>
      <c r="D37" s="41" t="s">
        <v>32</v>
      </c>
      <c r="E37" s="32">
        <v>1</v>
      </c>
      <c r="F37" s="5">
        <f t="shared" si="0"/>
        <v>150000</v>
      </c>
      <c r="G37" s="23">
        <f t="shared" si="1"/>
        <v>150000</v>
      </c>
      <c r="H37" s="3"/>
    </row>
    <row r="38" spans="2:8" ht="15.75" x14ac:dyDescent="0.25">
      <c r="B38" s="4">
        <v>34</v>
      </c>
      <c r="C38" s="22" t="s">
        <v>228</v>
      </c>
      <c r="D38" s="41" t="s">
        <v>32</v>
      </c>
      <c r="E38" s="32">
        <v>1</v>
      </c>
      <c r="F38" s="5">
        <f t="shared" si="0"/>
        <v>150000</v>
      </c>
      <c r="G38" s="23">
        <f t="shared" si="1"/>
        <v>150000</v>
      </c>
      <c r="H38" s="3"/>
    </row>
    <row r="39" spans="2:8" ht="15.75" x14ac:dyDescent="0.25">
      <c r="B39" s="4">
        <v>35</v>
      </c>
      <c r="C39" s="22" t="s">
        <v>226</v>
      </c>
      <c r="D39" s="41" t="s">
        <v>32</v>
      </c>
      <c r="E39" s="32">
        <v>1</v>
      </c>
      <c r="F39" s="5">
        <f t="shared" si="0"/>
        <v>150000</v>
      </c>
      <c r="G39" s="23">
        <f t="shared" si="1"/>
        <v>150000</v>
      </c>
      <c r="H39" s="3"/>
    </row>
    <row r="40" spans="2:8" ht="15.75" x14ac:dyDescent="0.25">
      <c r="B40" s="4">
        <v>36</v>
      </c>
      <c r="C40" s="22" t="s">
        <v>227</v>
      </c>
      <c r="D40" s="41" t="s">
        <v>32</v>
      </c>
      <c r="E40" s="32">
        <v>2</v>
      </c>
      <c r="F40" s="5">
        <f t="shared" si="0"/>
        <v>150000</v>
      </c>
      <c r="G40" s="23">
        <f t="shared" si="1"/>
        <v>300000</v>
      </c>
      <c r="H40" s="3"/>
    </row>
    <row r="41" spans="2:8" ht="15.75" x14ac:dyDescent="0.25">
      <c r="B41" s="4">
        <v>37</v>
      </c>
      <c r="C41" s="22" t="s">
        <v>225</v>
      </c>
      <c r="D41" s="41" t="s">
        <v>32</v>
      </c>
      <c r="E41" s="32">
        <v>1</v>
      </c>
      <c r="F41" s="5">
        <f t="shared" si="0"/>
        <v>150000</v>
      </c>
      <c r="G41" s="23">
        <f t="shared" si="1"/>
        <v>150000</v>
      </c>
      <c r="H41" s="3"/>
    </row>
    <row r="42" spans="2:8" ht="15.75" x14ac:dyDescent="0.25">
      <c r="B42" s="4">
        <v>38</v>
      </c>
      <c r="C42" s="22" t="s">
        <v>220</v>
      </c>
      <c r="D42" s="41" t="s">
        <v>32</v>
      </c>
      <c r="E42" s="32">
        <v>1</v>
      </c>
      <c r="F42" s="5">
        <f t="shared" si="0"/>
        <v>150000</v>
      </c>
      <c r="G42" s="23">
        <f t="shared" si="1"/>
        <v>150000</v>
      </c>
      <c r="H42" s="3"/>
    </row>
    <row r="43" spans="2:8" ht="15.75" x14ac:dyDescent="0.25">
      <c r="B43" s="4">
        <v>39</v>
      </c>
      <c r="C43" s="22" t="s">
        <v>226</v>
      </c>
      <c r="D43" s="41" t="s">
        <v>32</v>
      </c>
      <c r="E43" s="32">
        <v>1</v>
      </c>
      <c r="F43" s="5">
        <f t="shared" si="0"/>
        <v>150000</v>
      </c>
      <c r="G43" s="23">
        <f t="shared" si="1"/>
        <v>150000</v>
      </c>
      <c r="H43" s="3"/>
    </row>
    <row r="44" spans="2:8" ht="15.75" x14ac:dyDescent="0.25">
      <c r="B44" s="4">
        <v>40</v>
      </c>
      <c r="C44" s="22" t="s">
        <v>211</v>
      </c>
      <c r="D44" s="41" t="s">
        <v>32</v>
      </c>
      <c r="E44" s="32">
        <v>1</v>
      </c>
      <c r="F44" s="5">
        <f t="shared" si="0"/>
        <v>150000</v>
      </c>
      <c r="G44" s="23">
        <f t="shared" si="1"/>
        <v>150000</v>
      </c>
      <c r="H44" s="3"/>
    </row>
    <row r="45" spans="2:8" ht="15.75" x14ac:dyDescent="0.25">
      <c r="B45" s="4">
        <v>41</v>
      </c>
      <c r="C45" s="22" t="s">
        <v>239</v>
      </c>
      <c r="D45" s="41" t="s">
        <v>32</v>
      </c>
      <c r="E45" s="32">
        <v>2</v>
      </c>
      <c r="F45" s="5">
        <f t="shared" si="0"/>
        <v>150000</v>
      </c>
      <c r="G45" s="23">
        <f t="shared" si="1"/>
        <v>300000</v>
      </c>
      <c r="H45" s="3"/>
    </row>
    <row r="46" spans="2:8" ht="15.75" x14ac:dyDescent="0.25">
      <c r="B46" s="4">
        <v>42</v>
      </c>
      <c r="C46" s="22" t="s">
        <v>216</v>
      </c>
      <c r="D46" s="41" t="s">
        <v>32</v>
      </c>
      <c r="E46" s="32">
        <v>1</v>
      </c>
      <c r="F46" s="5">
        <f t="shared" si="0"/>
        <v>150000</v>
      </c>
      <c r="G46" s="23">
        <f t="shared" si="1"/>
        <v>150000</v>
      </c>
      <c r="H46" s="3"/>
    </row>
    <row r="47" spans="2:8" ht="15.75" x14ac:dyDescent="0.25">
      <c r="B47" s="4">
        <v>43</v>
      </c>
      <c r="C47" s="22" t="s">
        <v>214</v>
      </c>
      <c r="D47" s="41" t="s">
        <v>32</v>
      </c>
      <c r="E47" s="32">
        <v>2</v>
      </c>
      <c r="F47" s="5">
        <f t="shared" si="0"/>
        <v>150000</v>
      </c>
      <c r="G47" s="23">
        <f t="shared" si="1"/>
        <v>300000</v>
      </c>
      <c r="H47" s="3"/>
    </row>
    <row r="48" spans="2:8" ht="15.75" x14ac:dyDescent="0.25">
      <c r="B48" s="4">
        <v>44</v>
      </c>
      <c r="C48" s="22" t="s">
        <v>212</v>
      </c>
      <c r="D48" s="41" t="s">
        <v>32</v>
      </c>
      <c r="E48" s="32">
        <v>1</v>
      </c>
      <c r="F48" s="5">
        <f t="shared" si="0"/>
        <v>150000</v>
      </c>
      <c r="G48" s="23">
        <f t="shared" si="1"/>
        <v>150000</v>
      </c>
      <c r="H48" s="3"/>
    </row>
    <row r="49" spans="2:8" ht="15.75" x14ac:dyDescent="0.25">
      <c r="B49" s="4">
        <v>45</v>
      </c>
      <c r="C49" s="22" t="s">
        <v>218</v>
      </c>
      <c r="D49" s="41" t="s">
        <v>32</v>
      </c>
      <c r="E49" s="32">
        <v>1</v>
      </c>
      <c r="F49" s="5">
        <f t="shared" si="0"/>
        <v>150000</v>
      </c>
      <c r="G49" s="23">
        <f t="shared" si="1"/>
        <v>150000</v>
      </c>
      <c r="H49" s="3"/>
    </row>
    <row r="50" spans="2:8" s="18" customFormat="1" ht="31.5" x14ac:dyDescent="0.25">
      <c r="B50" s="4">
        <v>46</v>
      </c>
      <c r="C50" s="31" t="s">
        <v>206</v>
      </c>
      <c r="D50" s="36" t="s">
        <v>32</v>
      </c>
      <c r="E50" s="32">
        <v>2</v>
      </c>
      <c r="F50" s="5">
        <f t="shared" si="0"/>
        <v>150000</v>
      </c>
      <c r="G50" s="29">
        <f t="shared" si="1"/>
        <v>300000</v>
      </c>
      <c r="H50" s="28"/>
    </row>
    <row r="51" spans="2:8" ht="15.75" x14ac:dyDescent="0.25">
      <c r="B51" s="4">
        <v>47</v>
      </c>
      <c r="C51" s="22" t="s">
        <v>204</v>
      </c>
      <c r="D51" s="41" t="s">
        <v>32</v>
      </c>
      <c r="E51" s="32">
        <v>2</v>
      </c>
      <c r="F51" s="5">
        <f t="shared" si="0"/>
        <v>150000</v>
      </c>
      <c r="G51" s="23">
        <f t="shared" si="1"/>
        <v>300000</v>
      </c>
      <c r="H51" s="3"/>
    </row>
    <row r="52" spans="2:8" ht="15.75" x14ac:dyDescent="0.25">
      <c r="B52" s="4">
        <v>48</v>
      </c>
      <c r="C52" s="22" t="s">
        <v>208</v>
      </c>
      <c r="D52" s="41" t="s">
        <v>32</v>
      </c>
      <c r="E52" s="32">
        <v>2</v>
      </c>
      <c r="F52" s="5">
        <f t="shared" si="0"/>
        <v>150000</v>
      </c>
      <c r="G52" s="23">
        <f t="shared" si="1"/>
        <v>300000</v>
      </c>
      <c r="H52" s="3"/>
    </row>
    <row r="53" spans="2:8" ht="15.75" x14ac:dyDescent="0.25">
      <c r="B53" s="4">
        <v>49</v>
      </c>
      <c r="C53" s="22" t="s">
        <v>210</v>
      </c>
      <c r="D53" s="41" t="s">
        <v>32</v>
      </c>
      <c r="E53" s="32">
        <v>1</v>
      </c>
      <c r="F53" s="5">
        <f>_xlfn.IFS(D53="GOLD",200000,D53="SILVER",150000,D53="REGULER",110000)</f>
        <v>150000</v>
      </c>
      <c r="G53" s="23">
        <f t="shared" si="1"/>
        <v>150000</v>
      </c>
      <c r="H53" s="3"/>
    </row>
    <row r="54" spans="2:8" ht="15.75" x14ac:dyDescent="0.25">
      <c r="B54" s="4">
        <v>50</v>
      </c>
      <c r="C54" s="22" t="s">
        <v>201</v>
      </c>
      <c r="D54" s="41" t="s">
        <v>32</v>
      </c>
      <c r="E54" s="32">
        <v>1</v>
      </c>
      <c r="F54" s="5">
        <f t="shared" si="0"/>
        <v>150000</v>
      </c>
      <c r="G54" s="23">
        <f t="shared" si="1"/>
        <v>150000</v>
      </c>
      <c r="H54" s="3"/>
    </row>
    <row r="55" spans="2:8" ht="15.75" x14ac:dyDescent="0.25">
      <c r="B55" s="4">
        <v>51</v>
      </c>
      <c r="C55" s="22" t="s">
        <v>199</v>
      </c>
      <c r="D55" s="41" t="s">
        <v>32</v>
      </c>
      <c r="E55" s="32">
        <v>1</v>
      </c>
      <c r="F55" s="5">
        <f t="shared" si="0"/>
        <v>150000</v>
      </c>
      <c r="G55" s="23">
        <f t="shared" si="1"/>
        <v>150000</v>
      </c>
      <c r="H55" s="3"/>
    </row>
    <row r="56" spans="2:8" ht="15.75" x14ac:dyDescent="0.25">
      <c r="B56" s="4">
        <v>52</v>
      </c>
      <c r="C56" s="22" t="s">
        <v>196</v>
      </c>
      <c r="D56" s="41" t="s">
        <v>32</v>
      </c>
      <c r="E56" s="32">
        <v>1</v>
      </c>
      <c r="F56" s="5">
        <f t="shared" si="0"/>
        <v>150000</v>
      </c>
      <c r="G56" s="23">
        <f t="shared" si="1"/>
        <v>150000</v>
      </c>
      <c r="H56" s="3"/>
    </row>
    <row r="57" spans="2:8" ht="15.75" x14ac:dyDescent="0.25">
      <c r="B57" s="4">
        <v>53</v>
      </c>
      <c r="C57" s="22" t="s">
        <v>195</v>
      </c>
      <c r="D57" s="41" t="s">
        <v>32</v>
      </c>
      <c r="E57" s="32">
        <v>1</v>
      </c>
      <c r="F57" s="5">
        <f t="shared" si="0"/>
        <v>150000</v>
      </c>
      <c r="G57" s="23">
        <f t="shared" si="1"/>
        <v>150000</v>
      </c>
      <c r="H57" s="3"/>
    </row>
    <row r="58" spans="2:8" ht="15.75" x14ac:dyDescent="0.25">
      <c r="B58" s="4">
        <v>54</v>
      </c>
      <c r="C58" s="22" t="s">
        <v>198</v>
      </c>
      <c r="D58" s="41" t="s">
        <v>32</v>
      </c>
      <c r="E58" s="32">
        <v>2</v>
      </c>
      <c r="F58" s="5">
        <f t="shared" si="0"/>
        <v>150000</v>
      </c>
      <c r="G58" s="23">
        <f t="shared" si="1"/>
        <v>300000</v>
      </c>
      <c r="H58" s="3"/>
    </row>
    <row r="59" spans="2:8" ht="15.75" x14ac:dyDescent="0.25">
      <c r="B59" s="4">
        <v>55</v>
      </c>
      <c r="C59" s="22" t="s">
        <v>194</v>
      </c>
      <c r="D59" s="41" t="s">
        <v>32</v>
      </c>
      <c r="E59" s="32">
        <v>3</v>
      </c>
      <c r="F59" s="5">
        <f t="shared" si="0"/>
        <v>150000</v>
      </c>
      <c r="G59" s="23">
        <f t="shared" si="1"/>
        <v>450000</v>
      </c>
      <c r="H59" s="3"/>
    </row>
    <row r="60" spans="2:8" ht="15.75" x14ac:dyDescent="0.25">
      <c r="B60" s="4">
        <v>56</v>
      </c>
      <c r="C60" s="22" t="s">
        <v>193</v>
      </c>
      <c r="D60" s="41" t="s">
        <v>32</v>
      </c>
      <c r="E60" s="32">
        <v>1</v>
      </c>
      <c r="F60" s="5">
        <f t="shared" si="0"/>
        <v>150000</v>
      </c>
      <c r="G60" s="23">
        <f t="shared" si="1"/>
        <v>150000</v>
      </c>
      <c r="H60" s="3"/>
    </row>
    <row r="61" spans="2:8" s="39" customFormat="1" ht="31.5" x14ac:dyDescent="0.25">
      <c r="B61" s="4">
        <v>57</v>
      </c>
      <c r="C61" s="35" t="s">
        <v>127</v>
      </c>
      <c r="D61" s="36" t="s">
        <v>32</v>
      </c>
      <c r="E61" s="32">
        <v>2</v>
      </c>
      <c r="F61" s="37">
        <f t="shared" si="0"/>
        <v>150000</v>
      </c>
      <c r="G61" s="38">
        <f t="shared" si="1"/>
        <v>300000</v>
      </c>
      <c r="H61" s="34"/>
    </row>
    <row r="62" spans="2:8" ht="15.75" x14ac:dyDescent="0.25">
      <c r="B62" s="4">
        <v>58</v>
      </c>
      <c r="C62" s="22" t="s">
        <v>114</v>
      </c>
      <c r="D62" s="41" t="s">
        <v>32</v>
      </c>
      <c r="E62" s="32">
        <v>1</v>
      </c>
      <c r="F62" s="5">
        <f t="shared" si="0"/>
        <v>150000</v>
      </c>
      <c r="G62" s="23">
        <f t="shared" si="1"/>
        <v>150000</v>
      </c>
      <c r="H62" s="3"/>
    </row>
    <row r="63" spans="2:8" ht="15.75" x14ac:dyDescent="0.25">
      <c r="B63" s="4">
        <v>59</v>
      </c>
      <c r="C63" s="22" t="s">
        <v>116</v>
      </c>
      <c r="D63" s="41" t="s">
        <v>32</v>
      </c>
      <c r="E63" s="32">
        <v>1</v>
      </c>
      <c r="F63" s="5">
        <f t="shared" si="0"/>
        <v>150000</v>
      </c>
      <c r="G63" s="23">
        <f t="shared" si="1"/>
        <v>150000</v>
      </c>
      <c r="H63" s="3"/>
    </row>
    <row r="64" spans="2:8" ht="15.75" x14ac:dyDescent="0.25">
      <c r="B64" s="4">
        <v>60</v>
      </c>
      <c r="C64" s="22" t="s">
        <v>191</v>
      </c>
      <c r="D64" s="41" t="s">
        <v>32</v>
      </c>
      <c r="E64" s="32">
        <v>1</v>
      </c>
      <c r="F64" s="5">
        <f t="shared" si="0"/>
        <v>150000</v>
      </c>
      <c r="G64" s="23">
        <f t="shared" si="1"/>
        <v>150000</v>
      </c>
      <c r="H64" s="3"/>
    </row>
    <row r="65" spans="2:8" ht="15.75" x14ac:dyDescent="0.25">
      <c r="B65" s="4">
        <v>61</v>
      </c>
      <c r="C65" s="22" t="s">
        <v>190</v>
      </c>
      <c r="D65" s="41" t="s">
        <v>32</v>
      </c>
      <c r="E65" s="32">
        <v>1</v>
      </c>
      <c r="F65" s="5">
        <f t="shared" si="0"/>
        <v>150000</v>
      </c>
      <c r="G65" s="23">
        <f t="shared" si="1"/>
        <v>150000</v>
      </c>
      <c r="H65" s="3"/>
    </row>
    <row r="66" spans="2:8" ht="15.75" x14ac:dyDescent="0.25">
      <c r="B66" s="4">
        <v>62</v>
      </c>
      <c r="C66" s="22" t="s">
        <v>188</v>
      </c>
      <c r="D66" s="41" t="s">
        <v>32</v>
      </c>
      <c r="E66" s="32">
        <v>1</v>
      </c>
      <c r="F66" s="5">
        <f t="shared" si="0"/>
        <v>150000</v>
      </c>
      <c r="G66" s="23">
        <f t="shared" si="1"/>
        <v>150000</v>
      </c>
      <c r="H66" s="3"/>
    </row>
    <row r="67" spans="2:8" ht="15.75" x14ac:dyDescent="0.25">
      <c r="B67" s="4">
        <v>63</v>
      </c>
      <c r="C67" s="22" t="s">
        <v>186</v>
      </c>
      <c r="D67" s="41" t="s">
        <v>32</v>
      </c>
      <c r="E67" s="32">
        <v>2</v>
      </c>
      <c r="F67" s="5">
        <f t="shared" si="0"/>
        <v>150000</v>
      </c>
      <c r="G67" s="23">
        <f t="shared" si="1"/>
        <v>300000</v>
      </c>
      <c r="H67" s="3"/>
    </row>
    <row r="68" spans="2:8" ht="15.75" x14ac:dyDescent="0.25">
      <c r="B68" s="4">
        <v>64</v>
      </c>
      <c r="C68" s="22" t="s">
        <v>184</v>
      </c>
      <c r="D68" s="41" t="s">
        <v>32</v>
      </c>
      <c r="E68" s="32">
        <v>1</v>
      </c>
      <c r="F68" s="5">
        <f t="shared" si="0"/>
        <v>150000</v>
      </c>
      <c r="G68" s="23">
        <f t="shared" si="1"/>
        <v>150000</v>
      </c>
      <c r="H68" s="3"/>
    </row>
    <row r="69" spans="2:8" ht="15.75" x14ac:dyDescent="0.25">
      <c r="B69" s="4">
        <v>65</v>
      </c>
      <c r="C69" s="22" t="s">
        <v>183</v>
      </c>
      <c r="D69" s="41" t="s">
        <v>32</v>
      </c>
      <c r="E69" s="32">
        <v>1</v>
      </c>
      <c r="F69" s="5">
        <f t="shared" si="0"/>
        <v>150000</v>
      </c>
      <c r="G69" s="23">
        <f t="shared" si="1"/>
        <v>150000</v>
      </c>
      <c r="H69" s="3"/>
    </row>
    <row r="70" spans="2:8" ht="15.75" x14ac:dyDescent="0.25">
      <c r="B70" s="4">
        <v>66</v>
      </c>
      <c r="C70" s="22" t="s">
        <v>46</v>
      </c>
      <c r="D70" s="41" t="s">
        <v>32</v>
      </c>
      <c r="E70" s="32">
        <v>1</v>
      </c>
      <c r="F70" s="5">
        <f t="shared" ref="F70:F133" si="2">_xlfn.IFS(D70="GOLD",200000,D70="SILVER",150000,D70="REGULER",110000)</f>
        <v>150000</v>
      </c>
      <c r="G70" s="23">
        <f t="shared" ref="G70:G133" si="3">E70*F70</f>
        <v>150000</v>
      </c>
      <c r="H70" s="3"/>
    </row>
    <row r="71" spans="2:8" ht="15.75" x14ac:dyDescent="0.25">
      <c r="B71" s="4">
        <v>67</v>
      </c>
      <c r="C71" s="22" t="s">
        <v>181</v>
      </c>
      <c r="D71" s="41" t="s">
        <v>32</v>
      </c>
      <c r="E71" s="32">
        <v>2</v>
      </c>
      <c r="F71" s="5">
        <f t="shared" si="2"/>
        <v>150000</v>
      </c>
      <c r="G71" s="23">
        <f t="shared" si="3"/>
        <v>300000</v>
      </c>
      <c r="H71" s="3"/>
    </row>
    <row r="72" spans="2:8" ht="15.75" x14ac:dyDescent="0.25">
      <c r="B72" s="4">
        <v>68</v>
      </c>
      <c r="C72" s="22" t="s">
        <v>178</v>
      </c>
      <c r="D72" s="41" t="s">
        <v>32</v>
      </c>
      <c r="E72" s="32">
        <v>1</v>
      </c>
      <c r="F72" s="5">
        <f t="shared" si="2"/>
        <v>150000</v>
      </c>
      <c r="G72" s="23">
        <f t="shared" si="3"/>
        <v>150000</v>
      </c>
      <c r="H72" s="3"/>
    </row>
    <row r="73" spans="2:8" ht="15.75" x14ac:dyDescent="0.25">
      <c r="B73" s="4">
        <v>69</v>
      </c>
      <c r="C73" s="22" t="s">
        <v>177</v>
      </c>
      <c r="D73" s="41" t="s">
        <v>32</v>
      </c>
      <c r="E73" s="32">
        <v>1</v>
      </c>
      <c r="F73" s="5">
        <f t="shared" si="2"/>
        <v>150000</v>
      </c>
      <c r="G73" s="23">
        <f t="shared" si="3"/>
        <v>150000</v>
      </c>
      <c r="H73" s="3"/>
    </row>
    <row r="74" spans="2:8" s="39" customFormat="1" ht="31.5" x14ac:dyDescent="0.25">
      <c r="B74" s="4">
        <v>70</v>
      </c>
      <c r="C74" s="35" t="s">
        <v>176</v>
      </c>
      <c r="D74" s="36" t="s">
        <v>32</v>
      </c>
      <c r="E74" s="32">
        <v>1</v>
      </c>
      <c r="F74" s="37">
        <f t="shared" si="2"/>
        <v>150000</v>
      </c>
      <c r="G74" s="38">
        <f t="shared" si="3"/>
        <v>150000</v>
      </c>
      <c r="H74" s="34"/>
    </row>
    <row r="75" spans="2:8" s="1" customFormat="1" ht="31.5" x14ac:dyDescent="0.25">
      <c r="B75" s="4">
        <v>71</v>
      </c>
      <c r="C75" s="33" t="s">
        <v>174</v>
      </c>
      <c r="D75" s="36" t="s">
        <v>32</v>
      </c>
      <c r="E75" s="32">
        <v>1</v>
      </c>
      <c r="F75" s="30">
        <f t="shared" si="2"/>
        <v>150000</v>
      </c>
      <c r="G75" s="6">
        <f t="shared" si="3"/>
        <v>150000</v>
      </c>
      <c r="H75" s="4"/>
    </row>
    <row r="76" spans="2:8" ht="15.75" x14ac:dyDescent="0.25">
      <c r="B76" s="4">
        <v>72</v>
      </c>
      <c r="C76" s="22" t="s">
        <v>173</v>
      </c>
      <c r="D76" s="41" t="s">
        <v>32</v>
      </c>
      <c r="E76" s="32">
        <v>1</v>
      </c>
      <c r="F76" s="5">
        <f t="shared" si="2"/>
        <v>150000</v>
      </c>
      <c r="G76" s="23">
        <f t="shared" si="3"/>
        <v>150000</v>
      </c>
      <c r="H76" s="3"/>
    </row>
    <row r="77" spans="2:8" ht="15.75" x14ac:dyDescent="0.25">
      <c r="B77" s="4">
        <v>73</v>
      </c>
      <c r="C77" s="22" t="s">
        <v>172</v>
      </c>
      <c r="D77" s="41" t="s">
        <v>32</v>
      </c>
      <c r="E77" s="32">
        <v>2</v>
      </c>
      <c r="F77" s="5">
        <f t="shared" si="2"/>
        <v>150000</v>
      </c>
      <c r="G77" s="23">
        <f t="shared" si="3"/>
        <v>300000</v>
      </c>
      <c r="H77" s="3"/>
    </row>
    <row r="78" spans="2:8" ht="15.75" x14ac:dyDescent="0.25">
      <c r="B78" s="4">
        <v>74</v>
      </c>
      <c r="C78" s="22" t="s">
        <v>171</v>
      </c>
      <c r="D78" s="41" t="s">
        <v>32</v>
      </c>
      <c r="E78" s="32">
        <v>1</v>
      </c>
      <c r="F78" s="5">
        <f t="shared" si="2"/>
        <v>150000</v>
      </c>
      <c r="G78" s="23">
        <f t="shared" si="3"/>
        <v>150000</v>
      </c>
      <c r="H78" s="3"/>
    </row>
    <row r="79" spans="2:8" s="18" customFormat="1" ht="31.5" x14ac:dyDescent="0.25">
      <c r="B79" s="4">
        <v>75</v>
      </c>
      <c r="C79" s="31" t="s">
        <v>170</v>
      </c>
      <c r="D79" s="36" t="s">
        <v>32</v>
      </c>
      <c r="E79" s="32">
        <v>1</v>
      </c>
      <c r="F79" s="5">
        <f t="shared" si="2"/>
        <v>150000</v>
      </c>
      <c r="G79" s="29">
        <f t="shared" si="3"/>
        <v>150000</v>
      </c>
      <c r="H79" s="28"/>
    </row>
    <row r="80" spans="2:8" ht="15.75" x14ac:dyDescent="0.25">
      <c r="B80" s="4">
        <v>76</v>
      </c>
      <c r="C80" s="22" t="s">
        <v>168</v>
      </c>
      <c r="D80" s="41" t="s">
        <v>32</v>
      </c>
      <c r="E80" s="32">
        <v>4</v>
      </c>
      <c r="F80" s="5">
        <f t="shared" si="2"/>
        <v>150000</v>
      </c>
      <c r="G80" s="23">
        <f t="shared" si="3"/>
        <v>600000</v>
      </c>
      <c r="H80" s="3"/>
    </row>
    <row r="81" spans="2:8" ht="15.75" x14ac:dyDescent="0.25">
      <c r="B81" s="4">
        <v>77</v>
      </c>
      <c r="C81" s="22" t="s">
        <v>167</v>
      </c>
      <c r="D81" s="41" t="s">
        <v>32</v>
      </c>
      <c r="E81" s="32">
        <v>2</v>
      </c>
      <c r="F81" s="5">
        <f t="shared" si="2"/>
        <v>150000</v>
      </c>
      <c r="G81" s="23">
        <f t="shared" si="3"/>
        <v>300000</v>
      </c>
      <c r="H81" s="3"/>
    </row>
    <row r="82" spans="2:8" ht="15.75" x14ac:dyDescent="0.25">
      <c r="B82" s="4">
        <v>78</v>
      </c>
      <c r="C82" s="22" t="s">
        <v>163</v>
      </c>
      <c r="D82" s="41" t="s">
        <v>32</v>
      </c>
      <c r="E82" s="32">
        <v>2</v>
      </c>
      <c r="F82" s="5">
        <f t="shared" si="2"/>
        <v>150000</v>
      </c>
      <c r="G82" s="23">
        <f t="shared" si="3"/>
        <v>300000</v>
      </c>
      <c r="H82" s="3"/>
    </row>
    <row r="83" spans="2:8" ht="15.75" x14ac:dyDescent="0.25">
      <c r="B83" s="4">
        <v>79</v>
      </c>
      <c r="C83" s="22" t="s">
        <v>162</v>
      </c>
      <c r="D83" s="41" t="s">
        <v>32</v>
      </c>
      <c r="E83" s="32">
        <v>1</v>
      </c>
      <c r="F83" s="5">
        <f t="shared" si="2"/>
        <v>150000</v>
      </c>
      <c r="G83" s="23">
        <f t="shared" si="3"/>
        <v>150000</v>
      </c>
      <c r="H83" s="3"/>
    </row>
    <row r="84" spans="2:8" ht="15.75" x14ac:dyDescent="0.25">
      <c r="B84" s="4">
        <v>80</v>
      </c>
      <c r="C84" s="22" t="s">
        <v>159</v>
      </c>
      <c r="D84" s="41" t="s">
        <v>32</v>
      </c>
      <c r="E84" s="32">
        <v>3</v>
      </c>
      <c r="F84" s="5">
        <f t="shared" si="2"/>
        <v>150000</v>
      </c>
      <c r="G84" s="23">
        <f t="shared" si="3"/>
        <v>450000</v>
      </c>
      <c r="H84" s="3"/>
    </row>
    <row r="85" spans="2:8" ht="15.75" x14ac:dyDescent="0.25">
      <c r="B85" s="4">
        <v>81</v>
      </c>
      <c r="C85" s="22" t="s">
        <v>158</v>
      </c>
      <c r="D85" s="41" t="s">
        <v>32</v>
      </c>
      <c r="E85" s="32">
        <v>2</v>
      </c>
      <c r="F85" s="5">
        <f t="shared" si="2"/>
        <v>150000</v>
      </c>
      <c r="G85" s="23">
        <f t="shared" si="3"/>
        <v>300000</v>
      </c>
      <c r="H85" s="3"/>
    </row>
    <row r="86" spans="2:8" ht="15.75" x14ac:dyDescent="0.25">
      <c r="B86" s="4">
        <v>82</v>
      </c>
      <c r="C86" s="22" t="s">
        <v>157</v>
      </c>
      <c r="D86" s="41" t="s">
        <v>32</v>
      </c>
      <c r="E86" s="32">
        <v>1</v>
      </c>
      <c r="F86" s="5">
        <f t="shared" si="2"/>
        <v>150000</v>
      </c>
      <c r="G86" s="23">
        <f t="shared" si="3"/>
        <v>150000</v>
      </c>
      <c r="H86" s="3"/>
    </row>
    <row r="87" spans="2:8" ht="15.75" x14ac:dyDescent="0.25">
      <c r="B87" s="4">
        <v>83</v>
      </c>
      <c r="C87" s="22" t="s">
        <v>156</v>
      </c>
      <c r="D87" s="41" t="s">
        <v>32</v>
      </c>
      <c r="E87" s="32">
        <v>1</v>
      </c>
      <c r="F87" s="5">
        <f t="shared" si="2"/>
        <v>150000</v>
      </c>
      <c r="G87" s="23">
        <f t="shared" si="3"/>
        <v>150000</v>
      </c>
      <c r="H87" s="3"/>
    </row>
    <row r="88" spans="2:8" ht="15.75" x14ac:dyDescent="0.25">
      <c r="B88" s="4">
        <v>84</v>
      </c>
      <c r="C88" s="22" t="s">
        <v>155</v>
      </c>
      <c r="D88" s="41" t="s">
        <v>32</v>
      </c>
      <c r="E88" s="32">
        <v>3</v>
      </c>
      <c r="F88" s="5">
        <f t="shared" si="2"/>
        <v>150000</v>
      </c>
      <c r="G88" s="23">
        <f t="shared" si="3"/>
        <v>450000</v>
      </c>
      <c r="H88" s="3"/>
    </row>
    <row r="89" spans="2:8" ht="15.75" x14ac:dyDescent="0.25">
      <c r="B89" s="4">
        <v>85</v>
      </c>
      <c r="C89" s="22" t="s">
        <v>154</v>
      </c>
      <c r="D89" s="41" t="s">
        <v>32</v>
      </c>
      <c r="E89" s="32">
        <v>2</v>
      </c>
      <c r="F89" s="5">
        <f t="shared" si="2"/>
        <v>150000</v>
      </c>
      <c r="G89" s="23">
        <f t="shared" si="3"/>
        <v>300000</v>
      </c>
      <c r="H89" s="3"/>
    </row>
    <row r="90" spans="2:8" ht="15.75" x14ac:dyDescent="0.25">
      <c r="B90" s="4">
        <v>86</v>
      </c>
      <c r="C90" s="22" t="s">
        <v>153</v>
      </c>
      <c r="D90" s="41" t="s">
        <v>32</v>
      </c>
      <c r="E90" s="32">
        <v>1</v>
      </c>
      <c r="F90" s="5">
        <f t="shared" si="2"/>
        <v>150000</v>
      </c>
      <c r="G90" s="23">
        <f t="shared" si="3"/>
        <v>150000</v>
      </c>
      <c r="H90" s="3"/>
    </row>
    <row r="91" spans="2:8" ht="15.75" x14ac:dyDescent="0.25">
      <c r="B91" s="4">
        <v>87</v>
      </c>
      <c r="C91" s="22" t="s">
        <v>138</v>
      </c>
      <c r="D91" s="41" t="s">
        <v>32</v>
      </c>
      <c r="E91" s="32">
        <v>1</v>
      </c>
      <c r="F91" s="5">
        <f t="shared" si="2"/>
        <v>150000</v>
      </c>
      <c r="G91" s="23">
        <f t="shared" si="3"/>
        <v>150000</v>
      </c>
      <c r="H91" s="3"/>
    </row>
    <row r="92" spans="2:8" ht="15.75" x14ac:dyDescent="0.25">
      <c r="B92" s="4">
        <v>88</v>
      </c>
      <c r="C92" s="22" t="s">
        <v>140</v>
      </c>
      <c r="D92" s="41" t="s">
        <v>32</v>
      </c>
      <c r="E92" s="32">
        <v>1</v>
      </c>
      <c r="F92" s="5">
        <f t="shared" si="2"/>
        <v>150000</v>
      </c>
      <c r="G92" s="23">
        <f t="shared" si="3"/>
        <v>150000</v>
      </c>
      <c r="H92" s="3"/>
    </row>
    <row r="93" spans="2:8" ht="15.75" x14ac:dyDescent="0.25">
      <c r="B93" s="4">
        <v>89</v>
      </c>
      <c r="C93" s="22" t="s">
        <v>139</v>
      </c>
      <c r="D93" s="41" t="s">
        <v>32</v>
      </c>
      <c r="E93" s="32">
        <v>1</v>
      </c>
      <c r="F93" s="5">
        <f t="shared" si="2"/>
        <v>150000</v>
      </c>
      <c r="G93" s="23">
        <f t="shared" si="3"/>
        <v>150000</v>
      </c>
      <c r="H93" s="3"/>
    </row>
    <row r="94" spans="2:8" ht="15.75" x14ac:dyDescent="0.25">
      <c r="B94" s="4">
        <v>90</v>
      </c>
      <c r="C94" s="22" t="s">
        <v>133</v>
      </c>
      <c r="D94" s="41" t="s">
        <v>32</v>
      </c>
      <c r="E94" s="32">
        <v>1</v>
      </c>
      <c r="F94" s="5">
        <f t="shared" si="2"/>
        <v>150000</v>
      </c>
      <c r="G94" s="23">
        <f t="shared" si="3"/>
        <v>150000</v>
      </c>
      <c r="H94" s="3"/>
    </row>
    <row r="95" spans="2:8" ht="15.75" x14ac:dyDescent="0.25">
      <c r="B95" s="4">
        <v>91</v>
      </c>
      <c r="C95" s="22" t="s">
        <v>142</v>
      </c>
      <c r="D95" s="41" t="s">
        <v>32</v>
      </c>
      <c r="E95" s="32">
        <v>1</v>
      </c>
      <c r="F95" s="5">
        <f t="shared" si="2"/>
        <v>150000</v>
      </c>
      <c r="G95" s="23">
        <f t="shared" si="3"/>
        <v>150000</v>
      </c>
      <c r="H95" s="3"/>
    </row>
    <row r="96" spans="2:8" ht="15.75" x14ac:dyDescent="0.25">
      <c r="B96" s="4">
        <v>92</v>
      </c>
      <c r="C96" s="22" t="s">
        <v>141</v>
      </c>
      <c r="D96" s="41" t="s">
        <v>32</v>
      </c>
      <c r="E96" s="32">
        <v>1</v>
      </c>
      <c r="F96" s="5">
        <f t="shared" si="2"/>
        <v>150000</v>
      </c>
      <c r="G96" s="23">
        <f t="shared" si="3"/>
        <v>150000</v>
      </c>
      <c r="H96" s="3"/>
    </row>
    <row r="97" spans="2:8" ht="15.75" x14ac:dyDescent="0.25">
      <c r="B97" s="4">
        <v>93</v>
      </c>
      <c r="C97" s="22" t="s">
        <v>132</v>
      </c>
      <c r="D97" s="41" t="s">
        <v>32</v>
      </c>
      <c r="E97" s="32">
        <v>2</v>
      </c>
      <c r="F97" s="5">
        <f t="shared" si="2"/>
        <v>150000</v>
      </c>
      <c r="G97" s="23">
        <f t="shared" si="3"/>
        <v>300000</v>
      </c>
      <c r="H97" s="3"/>
    </row>
    <row r="98" spans="2:8" ht="15.75" x14ac:dyDescent="0.25">
      <c r="B98" s="4">
        <v>94</v>
      </c>
      <c r="C98" s="22" t="s">
        <v>122</v>
      </c>
      <c r="D98" s="41" t="s">
        <v>32</v>
      </c>
      <c r="E98" s="32">
        <v>1</v>
      </c>
      <c r="F98" s="5">
        <f t="shared" si="2"/>
        <v>150000</v>
      </c>
      <c r="G98" s="23">
        <f t="shared" si="3"/>
        <v>150000</v>
      </c>
      <c r="H98" s="3"/>
    </row>
    <row r="99" spans="2:8" ht="15.75" x14ac:dyDescent="0.25">
      <c r="B99" s="4">
        <v>95</v>
      </c>
      <c r="C99" s="22" t="s">
        <v>135</v>
      </c>
      <c r="D99" s="41" t="s">
        <v>32</v>
      </c>
      <c r="E99" s="32">
        <v>1</v>
      </c>
      <c r="F99" s="5">
        <f t="shared" si="2"/>
        <v>150000</v>
      </c>
      <c r="G99" s="23">
        <f t="shared" si="3"/>
        <v>150000</v>
      </c>
      <c r="H99" s="3"/>
    </row>
    <row r="100" spans="2:8" ht="15.75" x14ac:dyDescent="0.25">
      <c r="B100" s="4">
        <v>96</v>
      </c>
      <c r="C100" s="22" t="s">
        <v>112</v>
      </c>
      <c r="D100" s="41" t="s">
        <v>32</v>
      </c>
      <c r="E100" s="32">
        <v>1</v>
      </c>
      <c r="F100" s="5">
        <f t="shared" si="2"/>
        <v>150000</v>
      </c>
      <c r="G100" s="23">
        <f t="shared" si="3"/>
        <v>150000</v>
      </c>
      <c r="H100" s="3"/>
    </row>
    <row r="101" spans="2:8" ht="15.75" x14ac:dyDescent="0.25">
      <c r="B101" s="4">
        <v>97</v>
      </c>
      <c r="C101" s="22" t="s">
        <v>110</v>
      </c>
      <c r="D101" s="41" t="s">
        <v>32</v>
      </c>
      <c r="E101" s="32">
        <v>2</v>
      </c>
      <c r="F101" s="5">
        <f t="shared" si="2"/>
        <v>150000</v>
      </c>
      <c r="G101" s="23">
        <f t="shared" si="3"/>
        <v>300000</v>
      </c>
      <c r="H101" s="3"/>
    </row>
    <row r="102" spans="2:8" ht="15.75" x14ac:dyDescent="0.25">
      <c r="B102" s="4">
        <v>98</v>
      </c>
      <c r="C102" s="22" t="s">
        <v>103</v>
      </c>
      <c r="D102" s="41" t="s">
        <v>32</v>
      </c>
      <c r="E102" s="32">
        <v>1</v>
      </c>
      <c r="F102" s="5">
        <f t="shared" si="2"/>
        <v>150000</v>
      </c>
      <c r="G102" s="23">
        <f t="shared" si="3"/>
        <v>150000</v>
      </c>
      <c r="H102" s="3"/>
    </row>
    <row r="103" spans="2:8" ht="15.75" x14ac:dyDescent="0.25">
      <c r="B103" s="4">
        <v>99</v>
      </c>
      <c r="C103" s="22" t="s">
        <v>102</v>
      </c>
      <c r="D103" s="41" t="s">
        <v>32</v>
      </c>
      <c r="E103" s="32">
        <v>2</v>
      </c>
      <c r="F103" s="5">
        <f t="shared" si="2"/>
        <v>150000</v>
      </c>
      <c r="G103" s="23">
        <f t="shared" si="3"/>
        <v>300000</v>
      </c>
      <c r="H103" s="3"/>
    </row>
    <row r="104" spans="2:8" ht="15.75" x14ac:dyDescent="0.25">
      <c r="B104" s="4">
        <v>100</v>
      </c>
      <c r="C104" s="22" t="s">
        <v>101</v>
      </c>
      <c r="D104" s="41" t="s">
        <v>32</v>
      </c>
      <c r="E104" s="32">
        <v>1</v>
      </c>
      <c r="F104" s="5">
        <f t="shared" si="2"/>
        <v>150000</v>
      </c>
      <c r="G104" s="23">
        <f t="shared" si="3"/>
        <v>150000</v>
      </c>
      <c r="H104" s="3"/>
    </row>
    <row r="105" spans="2:8" ht="15.75" x14ac:dyDescent="0.25">
      <c r="B105" s="4">
        <v>101</v>
      </c>
      <c r="C105" s="22" t="s">
        <v>96</v>
      </c>
      <c r="D105" s="41" t="s">
        <v>32</v>
      </c>
      <c r="E105" s="32">
        <v>1</v>
      </c>
      <c r="F105" s="5">
        <f t="shared" si="2"/>
        <v>150000</v>
      </c>
      <c r="G105" s="23">
        <f t="shared" si="3"/>
        <v>150000</v>
      </c>
      <c r="H105" s="3"/>
    </row>
    <row r="106" spans="2:8" ht="15.75" x14ac:dyDescent="0.25">
      <c r="B106" s="4">
        <v>102</v>
      </c>
      <c r="C106" s="22" t="s">
        <v>95</v>
      </c>
      <c r="D106" s="41" t="s">
        <v>32</v>
      </c>
      <c r="E106" s="32">
        <v>1</v>
      </c>
      <c r="F106" s="5">
        <f t="shared" si="2"/>
        <v>150000</v>
      </c>
      <c r="G106" s="23">
        <f t="shared" si="3"/>
        <v>150000</v>
      </c>
      <c r="H106" s="3"/>
    </row>
    <row r="107" spans="2:8" ht="15.75" x14ac:dyDescent="0.25">
      <c r="B107" s="4">
        <v>103</v>
      </c>
      <c r="C107" s="22" t="s">
        <v>137</v>
      </c>
      <c r="D107" s="41" t="s">
        <v>32</v>
      </c>
      <c r="E107" s="32">
        <v>1</v>
      </c>
      <c r="F107" s="5">
        <f t="shared" si="2"/>
        <v>150000</v>
      </c>
      <c r="G107" s="23">
        <f t="shared" si="3"/>
        <v>150000</v>
      </c>
      <c r="H107" s="3"/>
    </row>
    <row r="108" spans="2:8" ht="15.75" x14ac:dyDescent="0.25">
      <c r="B108" s="4">
        <v>104</v>
      </c>
      <c r="C108" s="22" t="s">
        <v>91</v>
      </c>
      <c r="D108" s="41" t="s">
        <v>32</v>
      </c>
      <c r="E108" s="32">
        <v>1</v>
      </c>
      <c r="F108" s="5">
        <f t="shared" si="2"/>
        <v>150000</v>
      </c>
      <c r="G108" s="23">
        <f t="shared" si="3"/>
        <v>150000</v>
      </c>
      <c r="H108" s="3"/>
    </row>
    <row r="109" spans="2:8" ht="15.75" x14ac:dyDescent="0.25">
      <c r="B109" s="4">
        <v>105</v>
      </c>
      <c r="C109" s="22" t="s">
        <v>83</v>
      </c>
      <c r="D109" s="41" t="s">
        <v>32</v>
      </c>
      <c r="E109" s="32">
        <v>1</v>
      </c>
      <c r="F109" s="5">
        <f t="shared" si="2"/>
        <v>150000</v>
      </c>
      <c r="G109" s="23">
        <f t="shared" si="3"/>
        <v>150000</v>
      </c>
      <c r="H109" s="3"/>
    </row>
    <row r="110" spans="2:8" ht="15.75" x14ac:dyDescent="0.25">
      <c r="B110" s="4">
        <v>106</v>
      </c>
      <c r="C110" s="22" t="s">
        <v>79</v>
      </c>
      <c r="D110" s="41" t="s">
        <v>32</v>
      </c>
      <c r="E110" s="32">
        <v>1</v>
      </c>
      <c r="F110" s="5">
        <f t="shared" si="2"/>
        <v>150000</v>
      </c>
      <c r="G110" s="23">
        <f t="shared" si="3"/>
        <v>150000</v>
      </c>
      <c r="H110" s="3"/>
    </row>
    <row r="111" spans="2:8" ht="15.75" x14ac:dyDescent="0.25">
      <c r="B111" s="4">
        <v>107</v>
      </c>
      <c r="C111" s="22" t="s">
        <v>76</v>
      </c>
      <c r="D111" s="41" t="s">
        <v>32</v>
      </c>
      <c r="E111" s="32">
        <v>2</v>
      </c>
      <c r="F111" s="5">
        <f t="shared" si="2"/>
        <v>150000</v>
      </c>
      <c r="G111" s="23">
        <f t="shared" si="3"/>
        <v>300000</v>
      </c>
      <c r="H111" s="3"/>
    </row>
    <row r="112" spans="2:8" ht="15.75" x14ac:dyDescent="0.25">
      <c r="B112" s="4">
        <v>108</v>
      </c>
      <c r="C112" s="22" t="s">
        <v>71</v>
      </c>
      <c r="D112" s="41" t="s">
        <v>32</v>
      </c>
      <c r="E112" s="32">
        <v>2</v>
      </c>
      <c r="F112" s="5">
        <f t="shared" si="2"/>
        <v>150000</v>
      </c>
      <c r="G112" s="23">
        <f t="shared" si="3"/>
        <v>300000</v>
      </c>
      <c r="H112" s="3"/>
    </row>
    <row r="113" spans="2:8" ht="15.75" x14ac:dyDescent="0.25">
      <c r="B113" s="4">
        <v>109</v>
      </c>
      <c r="C113" s="22" t="s">
        <v>47</v>
      </c>
      <c r="D113" s="41" t="s">
        <v>32</v>
      </c>
      <c r="E113" s="32">
        <v>2</v>
      </c>
      <c r="F113" s="5">
        <f t="shared" si="2"/>
        <v>150000</v>
      </c>
      <c r="G113" s="23">
        <f t="shared" si="3"/>
        <v>300000</v>
      </c>
      <c r="H113" s="3"/>
    </row>
    <row r="114" spans="2:8" ht="15.75" x14ac:dyDescent="0.25">
      <c r="B114" s="4">
        <v>110</v>
      </c>
      <c r="C114" s="22" t="s">
        <v>39</v>
      </c>
      <c r="D114" s="41" t="s">
        <v>32</v>
      </c>
      <c r="E114" s="32">
        <v>1</v>
      </c>
      <c r="F114" s="5">
        <f t="shared" si="2"/>
        <v>150000</v>
      </c>
      <c r="G114" s="23">
        <f t="shared" si="3"/>
        <v>150000</v>
      </c>
      <c r="H114" s="3"/>
    </row>
    <row r="115" spans="2:8" ht="15.75" x14ac:dyDescent="0.25">
      <c r="B115" s="4">
        <v>111</v>
      </c>
      <c r="C115" s="22" t="s">
        <v>28</v>
      </c>
      <c r="D115" s="41" t="s">
        <v>32</v>
      </c>
      <c r="E115" s="32">
        <v>2</v>
      </c>
      <c r="F115" s="5">
        <f t="shared" si="2"/>
        <v>150000</v>
      </c>
      <c r="G115" s="23">
        <f t="shared" si="3"/>
        <v>300000</v>
      </c>
      <c r="H115" s="3"/>
    </row>
    <row r="116" spans="2:8" ht="15.75" x14ac:dyDescent="0.25">
      <c r="B116" s="4">
        <v>112</v>
      </c>
      <c r="C116" s="22" t="s">
        <v>26</v>
      </c>
      <c r="D116" s="41" t="s">
        <v>32</v>
      </c>
      <c r="E116" s="32">
        <v>1</v>
      </c>
      <c r="F116" s="5">
        <f t="shared" si="2"/>
        <v>150000</v>
      </c>
      <c r="G116" s="23">
        <f t="shared" si="3"/>
        <v>150000</v>
      </c>
      <c r="H116" s="3"/>
    </row>
    <row r="117" spans="2:8" ht="15.75" x14ac:dyDescent="0.25">
      <c r="B117" s="4">
        <v>113</v>
      </c>
      <c r="C117" s="22" t="s">
        <v>25</v>
      </c>
      <c r="D117" s="41" t="s">
        <v>32</v>
      </c>
      <c r="E117" s="32">
        <v>2</v>
      </c>
      <c r="F117" s="5">
        <f t="shared" si="2"/>
        <v>150000</v>
      </c>
      <c r="G117" s="23">
        <f t="shared" si="3"/>
        <v>300000</v>
      </c>
      <c r="H117" s="3"/>
    </row>
    <row r="118" spans="2:8" ht="15.75" x14ac:dyDescent="0.25">
      <c r="B118" s="4">
        <v>114</v>
      </c>
      <c r="C118" s="22" t="s">
        <v>20</v>
      </c>
      <c r="D118" s="41" t="s">
        <v>32</v>
      </c>
      <c r="E118" s="32">
        <v>2</v>
      </c>
      <c r="F118" s="5">
        <f t="shared" si="2"/>
        <v>150000</v>
      </c>
      <c r="G118" s="23">
        <f t="shared" si="3"/>
        <v>300000</v>
      </c>
      <c r="H118" s="3"/>
    </row>
    <row r="119" spans="2:8" ht="15.75" x14ac:dyDescent="0.25">
      <c r="B119" s="4">
        <v>119</v>
      </c>
      <c r="C119" s="50" t="s">
        <v>313</v>
      </c>
      <c r="D119" s="41" t="s">
        <v>32</v>
      </c>
      <c r="E119" s="4">
        <v>1</v>
      </c>
      <c r="F119" s="5">
        <f t="shared" si="2"/>
        <v>150000</v>
      </c>
      <c r="G119" s="23">
        <f t="shared" si="3"/>
        <v>150000</v>
      </c>
      <c r="H119" s="3"/>
    </row>
    <row r="120" spans="2:8" ht="15.75" x14ac:dyDescent="0.25">
      <c r="B120" s="4">
        <v>120</v>
      </c>
      <c r="C120" s="51" t="s">
        <v>314</v>
      </c>
      <c r="D120" s="41" t="s">
        <v>32</v>
      </c>
      <c r="E120" s="4">
        <v>2</v>
      </c>
      <c r="F120" s="5">
        <f t="shared" si="2"/>
        <v>150000</v>
      </c>
      <c r="G120" s="23">
        <f t="shared" si="3"/>
        <v>300000</v>
      </c>
      <c r="H120" s="3"/>
    </row>
    <row r="121" spans="2:8" ht="15.75" x14ac:dyDescent="0.25">
      <c r="B121" s="4">
        <v>121</v>
      </c>
      <c r="C121" s="50" t="s">
        <v>311</v>
      </c>
      <c r="D121" s="41" t="s">
        <v>32</v>
      </c>
      <c r="E121" s="4">
        <v>2</v>
      </c>
      <c r="F121" s="5">
        <f t="shared" si="2"/>
        <v>150000</v>
      </c>
      <c r="G121" s="23">
        <f t="shared" si="3"/>
        <v>300000</v>
      </c>
      <c r="H121" s="3"/>
    </row>
    <row r="122" spans="2:8" ht="15.75" x14ac:dyDescent="0.25">
      <c r="B122" s="4">
        <v>122</v>
      </c>
      <c r="C122" s="22" t="s">
        <v>336</v>
      </c>
      <c r="D122" s="41" t="s">
        <v>32</v>
      </c>
      <c r="E122" s="52">
        <v>1</v>
      </c>
      <c r="F122" s="5">
        <f t="shared" si="2"/>
        <v>150000</v>
      </c>
      <c r="G122" s="23">
        <f t="shared" si="3"/>
        <v>150000</v>
      </c>
      <c r="H122" s="3"/>
    </row>
    <row r="123" spans="2:8" ht="15.75" x14ac:dyDescent="0.25">
      <c r="B123" s="4">
        <v>123</v>
      </c>
      <c r="C123" s="22" t="s">
        <v>337</v>
      </c>
      <c r="D123" s="41" t="s">
        <v>32</v>
      </c>
      <c r="E123" s="52">
        <v>4</v>
      </c>
      <c r="F123" s="5">
        <f t="shared" si="2"/>
        <v>150000</v>
      </c>
      <c r="G123" s="23">
        <f t="shared" si="3"/>
        <v>600000</v>
      </c>
      <c r="H123" s="3"/>
    </row>
    <row r="124" spans="2:8" ht="31.5" x14ac:dyDescent="0.25">
      <c r="B124" s="4">
        <v>124</v>
      </c>
      <c r="C124" s="22" t="s">
        <v>338</v>
      </c>
      <c r="D124" s="41" t="s">
        <v>32</v>
      </c>
      <c r="E124" s="52">
        <v>7</v>
      </c>
      <c r="F124" s="5">
        <f t="shared" si="2"/>
        <v>150000</v>
      </c>
      <c r="G124" s="23">
        <f t="shared" si="3"/>
        <v>1050000</v>
      </c>
      <c r="H124" s="3"/>
    </row>
    <row r="125" spans="2:8" ht="15.75" x14ac:dyDescent="0.25">
      <c r="B125" s="4">
        <v>125</v>
      </c>
      <c r="C125" s="22" t="s">
        <v>339</v>
      </c>
      <c r="D125" s="41" t="s">
        <v>32</v>
      </c>
      <c r="E125" s="52">
        <v>2</v>
      </c>
      <c r="F125" s="5">
        <f t="shared" si="2"/>
        <v>150000</v>
      </c>
      <c r="G125" s="23">
        <f t="shared" si="3"/>
        <v>300000</v>
      </c>
      <c r="H125" s="3"/>
    </row>
    <row r="126" spans="2:8" ht="15.75" x14ac:dyDescent="0.25">
      <c r="B126" s="4">
        <v>126</v>
      </c>
      <c r="C126" s="22" t="s">
        <v>340</v>
      </c>
      <c r="D126" s="41" t="s">
        <v>32</v>
      </c>
      <c r="E126" s="52">
        <v>1</v>
      </c>
      <c r="F126" s="5">
        <f t="shared" si="2"/>
        <v>150000</v>
      </c>
      <c r="G126" s="23">
        <f t="shared" si="3"/>
        <v>150000</v>
      </c>
      <c r="H126" s="3"/>
    </row>
    <row r="127" spans="2:8" ht="15.75" x14ac:dyDescent="0.25">
      <c r="B127" s="4">
        <v>127</v>
      </c>
      <c r="C127" s="22" t="s">
        <v>341</v>
      </c>
      <c r="D127" s="41" t="s">
        <v>32</v>
      </c>
      <c r="E127" s="52">
        <v>1</v>
      </c>
      <c r="F127" s="5">
        <f t="shared" si="2"/>
        <v>150000</v>
      </c>
      <c r="G127" s="23">
        <f t="shared" si="3"/>
        <v>150000</v>
      </c>
      <c r="H127" s="3"/>
    </row>
    <row r="128" spans="2:8" ht="15.75" x14ac:dyDescent="0.25">
      <c r="B128" s="4">
        <v>128</v>
      </c>
      <c r="C128" s="22" t="s">
        <v>342</v>
      </c>
      <c r="D128" s="41" t="s">
        <v>32</v>
      </c>
      <c r="E128" s="52">
        <v>5</v>
      </c>
      <c r="F128" s="5">
        <f t="shared" si="2"/>
        <v>150000</v>
      </c>
      <c r="G128" s="23">
        <f t="shared" si="3"/>
        <v>750000</v>
      </c>
      <c r="H128" s="3"/>
    </row>
    <row r="129" spans="2:8" ht="15.75" x14ac:dyDescent="0.25">
      <c r="B129" s="4">
        <v>129</v>
      </c>
      <c r="C129" s="22" t="s">
        <v>343</v>
      </c>
      <c r="D129" s="41" t="s">
        <v>32</v>
      </c>
      <c r="E129" s="52">
        <v>3</v>
      </c>
      <c r="F129" s="5">
        <f t="shared" si="2"/>
        <v>150000</v>
      </c>
      <c r="G129" s="23">
        <f t="shared" si="3"/>
        <v>450000</v>
      </c>
      <c r="H129" s="3"/>
    </row>
    <row r="130" spans="2:8" ht="15.75" x14ac:dyDescent="0.25">
      <c r="B130" s="4">
        <v>130</v>
      </c>
      <c r="C130" s="22" t="s">
        <v>344</v>
      </c>
      <c r="D130" s="41" t="s">
        <v>32</v>
      </c>
      <c r="E130" s="52">
        <v>1</v>
      </c>
      <c r="F130" s="5">
        <f t="shared" si="2"/>
        <v>150000</v>
      </c>
      <c r="G130" s="23">
        <f t="shared" si="3"/>
        <v>150000</v>
      </c>
      <c r="H130" s="3"/>
    </row>
    <row r="131" spans="2:8" ht="15.75" x14ac:dyDescent="0.25">
      <c r="B131" s="4">
        <v>131</v>
      </c>
      <c r="C131" s="22" t="s">
        <v>345</v>
      </c>
      <c r="D131" s="41" t="s">
        <v>32</v>
      </c>
      <c r="E131" s="52">
        <v>1</v>
      </c>
      <c r="F131" s="5">
        <f t="shared" si="2"/>
        <v>150000</v>
      </c>
      <c r="G131" s="23">
        <f t="shared" si="3"/>
        <v>150000</v>
      </c>
      <c r="H131" s="3"/>
    </row>
    <row r="132" spans="2:8" ht="31.5" x14ac:dyDescent="0.25">
      <c r="B132" s="4">
        <v>132</v>
      </c>
      <c r="C132" s="22" t="s">
        <v>346</v>
      </c>
      <c r="D132" s="41" t="s">
        <v>32</v>
      </c>
      <c r="E132" s="52">
        <v>1</v>
      </c>
      <c r="F132" s="5">
        <f t="shared" si="2"/>
        <v>150000</v>
      </c>
      <c r="G132" s="23">
        <f t="shared" si="3"/>
        <v>150000</v>
      </c>
      <c r="H132" s="3"/>
    </row>
    <row r="133" spans="2:8" ht="31.5" x14ac:dyDescent="0.25">
      <c r="B133" s="4">
        <v>133</v>
      </c>
      <c r="C133" s="22" t="s">
        <v>347</v>
      </c>
      <c r="D133" s="41" t="s">
        <v>32</v>
      </c>
      <c r="E133" s="52">
        <v>2</v>
      </c>
      <c r="F133" s="5">
        <f t="shared" si="2"/>
        <v>150000</v>
      </c>
      <c r="G133" s="23">
        <f t="shared" si="3"/>
        <v>300000</v>
      </c>
      <c r="H133" s="3"/>
    </row>
    <row r="134" spans="2:8" ht="15.75" x14ac:dyDescent="0.25">
      <c r="B134" s="4">
        <v>134</v>
      </c>
      <c r="C134" s="22" t="s">
        <v>348</v>
      </c>
      <c r="D134" s="41" t="s">
        <v>32</v>
      </c>
      <c r="E134" s="52">
        <v>1</v>
      </c>
      <c r="F134" s="5">
        <f>_xlfn.IFS(D134="GOLD",200000,D134="SILVER",150000,D134="REGULER",110000)</f>
        <v>150000</v>
      </c>
      <c r="G134" s="23">
        <f>E134*F134</f>
        <v>150000</v>
      </c>
      <c r="H134" s="3"/>
    </row>
    <row r="135" spans="2:8" ht="15.75" x14ac:dyDescent="0.25">
      <c r="B135" s="4">
        <v>135</v>
      </c>
      <c r="C135" s="22" t="s">
        <v>349</v>
      </c>
      <c r="D135" s="41" t="s">
        <v>32</v>
      </c>
      <c r="E135" s="52">
        <v>2</v>
      </c>
      <c r="F135" s="5">
        <f>_xlfn.IFS(D135="GOLD",200000,D135="SILVER",150000,D135="REGULER",110000)</f>
        <v>150000</v>
      </c>
      <c r="G135" s="23">
        <f>E135*F135</f>
        <v>300000</v>
      </c>
      <c r="H135" s="3"/>
    </row>
    <row r="136" spans="2:8" ht="47.25" x14ac:dyDescent="0.25">
      <c r="B136" s="4">
        <v>136</v>
      </c>
      <c r="C136" s="22" t="s">
        <v>350</v>
      </c>
      <c r="D136" s="41" t="s">
        <v>32</v>
      </c>
      <c r="E136" s="52">
        <v>2</v>
      </c>
      <c r="F136" s="5">
        <f>_xlfn.IFS(D136="GOLD",200000,D136="SILVER",150000,D136="REGULER",110000)</f>
        <v>150000</v>
      </c>
      <c r="G136" s="23">
        <f>E136*F136</f>
        <v>300000</v>
      </c>
      <c r="H136" s="3"/>
    </row>
    <row r="137" spans="2:8" ht="15.75" x14ac:dyDescent="0.25">
      <c r="B137" s="4">
        <v>137</v>
      </c>
      <c r="C137" s="22" t="s">
        <v>351</v>
      </c>
      <c r="D137" s="41" t="s">
        <v>32</v>
      </c>
      <c r="E137" s="52">
        <v>1</v>
      </c>
      <c r="F137" s="5">
        <f>_xlfn.IFS(D137="GOLD",200000,D137="SILVER",150000,D137="REGULER",110000)</f>
        <v>150000</v>
      </c>
      <c r="G137" s="23">
        <f>E137*F137</f>
        <v>150000</v>
      </c>
      <c r="H137" s="3"/>
    </row>
  </sheetData>
  <mergeCells count="4">
    <mergeCell ref="K1:Q1"/>
    <mergeCell ref="N3:O3"/>
    <mergeCell ref="I2:I3"/>
    <mergeCell ref="J2:J3"/>
  </mergeCells>
  <conditionalFormatting sqref="C119:C120">
    <cfRule type="duplicateValues" dxfId="484" priority="5"/>
    <cfRule type="duplicateValues" dxfId="483" priority="6"/>
    <cfRule type="duplicateValues" dxfId="482" priority="7"/>
  </conditionalFormatting>
  <conditionalFormatting sqref="C121">
    <cfRule type="duplicateValues" dxfId="481" priority="2"/>
    <cfRule type="duplicateValues" dxfId="480" priority="3"/>
    <cfRule type="duplicateValues" dxfId="479" priority="4"/>
  </conditionalFormatting>
  <conditionalFormatting sqref="C122:C137">
    <cfRule type="duplicateValues" dxfId="478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05AC-E85F-4E6D-9540-B1116100215E}">
  <dimension ref="B1:Q78"/>
  <sheetViews>
    <sheetView workbookViewId="0">
      <selection activeCell="L7" sqref="L7:N7"/>
    </sheetView>
  </sheetViews>
  <sheetFormatPr defaultRowHeight="15" x14ac:dyDescent="0.25"/>
  <cols>
    <col min="2" max="2" width="9.140625" style="14"/>
    <col min="3" max="3" width="26.42578125" style="27" customWidth="1"/>
    <col min="4" max="4" width="15.5703125" style="14" customWidth="1"/>
    <col min="5" max="5" width="15" style="1" customWidth="1"/>
    <col min="6" max="6" width="15.5703125" customWidth="1"/>
    <col min="7" max="7" width="17.7109375" customWidth="1"/>
    <col min="8" max="8" width="14.85546875" customWidth="1"/>
    <col min="9" max="9" width="10.28515625" customWidth="1"/>
    <col min="11" max="11" width="3.5703125" customWidth="1"/>
    <col min="12" max="12" width="19.28515625" customWidth="1"/>
    <col min="13" max="13" width="11.7109375" customWidth="1"/>
    <col min="14" max="14" width="13.28515625" customWidth="1"/>
    <col min="15" max="15" width="10.28515625" bestFit="1" customWidth="1"/>
    <col min="16" max="16" width="12.85546875" bestFit="1" customWidth="1"/>
    <col min="17" max="17" width="12.7109375" customWidth="1"/>
  </cols>
  <sheetData>
    <row r="1" spans="2:17" x14ac:dyDescent="0.25">
      <c r="K1" s="81" t="s">
        <v>322</v>
      </c>
      <c r="L1" s="81"/>
      <c r="M1" s="81"/>
      <c r="N1" s="81"/>
      <c r="O1" s="81"/>
      <c r="P1" s="81"/>
      <c r="Q1" s="81"/>
    </row>
    <row r="2" spans="2:17" x14ac:dyDescent="0.25">
      <c r="K2" s="17"/>
      <c r="L2" s="17"/>
      <c r="M2" s="17"/>
      <c r="N2" s="17"/>
      <c r="O2" s="17"/>
      <c r="P2" s="17"/>
      <c r="Q2" s="17"/>
    </row>
    <row r="3" spans="2:17" x14ac:dyDescent="0.25">
      <c r="B3" s="15"/>
      <c r="C3" s="26" t="s">
        <v>298</v>
      </c>
      <c r="D3" s="15">
        <f>SUM(E6:E297)</f>
        <v>121</v>
      </c>
      <c r="E3" s="4"/>
      <c r="F3" s="40" t="s">
        <v>295</v>
      </c>
      <c r="G3" s="23">
        <f>SUM(G6:G297)</f>
        <v>13310000</v>
      </c>
      <c r="H3" s="11"/>
      <c r="I3" s="85" t="s">
        <v>3</v>
      </c>
      <c r="J3" s="83">
        <f>D3+M3</f>
        <v>127</v>
      </c>
      <c r="K3" s="18"/>
      <c r="L3" s="48" t="s">
        <v>326</v>
      </c>
      <c r="M3" s="19">
        <f>SUM(N6:N9)</f>
        <v>6</v>
      </c>
      <c r="N3" s="86" t="s">
        <v>295</v>
      </c>
      <c r="O3" s="86"/>
      <c r="P3" s="47">
        <f>SUM(P6:P9)</f>
        <v>660000</v>
      </c>
      <c r="Q3" s="40"/>
    </row>
    <row r="4" spans="2:17" x14ac:dyDescent="0.25">
      <c r="I4" s="85"/>
      <c r="J4" s="83"/>
      <c r="K4" s="1"/>
      <c r="L4" s="2"/>
    </row>
    <row r="5" spans="2:17" ht="24.75" customHeight="1" x14ac:dyDescent="0.25">
      <c r="B5" s="19" t="s">
        <v>288</v>
      </c>
      <c r="C5" s="26" t="s">
        <v>289</v>
      </c>
      <c r="D5" s="19" t="s">
        <v>299</v>
      </c>
      <c r="E5" s="19" t="s">
        <v>300</v>
      </c>
      <c r="F5" s="19" t="s">
        <v>290</v>
      </c>
      <c r="G5" s="19" t="s">
        <v>291</v>
      </c>
      <c r="H5" s="19" t="s">
        <v>292</v>
      </c>
      <c r="I5" s="46"/>
      <c r="K5" s="19" t="s">
        <v>288</v>
      </c>
      <c r="L5" s="19" t="s">
        <v>289</v>
      </c>
      <c r="M5" s="19" t="s">
        <v>299</v>
      </c>
      <c r="N5" s="19" t="s">
        <v>300</v>
      </c>
      <c r="O5" s="19" t="s">
        <v>290</v>
      </c>
      <c r="P5" s="19" t="s">
        <v>291</v>
      </c>
      <c r="Q5" s="19" t="s">
        <v>292</v>
      </c>
    </row>
    <row r="6" spans="2:17" ht="15.75" x14ac:dyDescent="0.25">
      <c r="B6" s="15">
        <v>1</v>
      </c>
      <c r="C6" s="35" t="s">
        <v>302</v>
      </c>
      <c r="D6" s="15" t="s">
        <v>310</v>
      </c>
      <c r="E6" s="32">
        <v>1</v>
      </c>
      <c r="F6" s="5">
        <f>_xlfn.IFS(D6="GOLD",200000,D6="SILVER",150000,D6="REGULER",110000)</f>
        <v>110000</v>
      </c>
      <c r="G6" s="23">
        <f>E6*F6</f>
        <v>110000</v>
      </c>
      <c r="H6" s="3"/>
      <c r="K6" s="3">
        <v>1</v>
      </c>
      <c r="L6" s="3" t="s">
        <v>328</v>
      </c>
      <c r="M6" s="3" t="s">
        <v>35</v>
      </c>
      <c r="N6" s="3"/>
      <c r="O6" s="5">
        <f>_xlfn.IFS(M6="GOLD",200000,M6="SILVER",150000,M6="REGULER",110000)</f>
        <v>110000</v>
      </c>
      <c r="P6" s="23">
        <f>O6*N6</f>
        <v>0</v>
      </c>
      <c r="Q6" s="3" t="s">
        <v>329</v>
      </c>
    </row>
    <row r="7" spans="2:17" s="18" customFormat="1" ht="30" x14ac:dyDescent="0.25">
      <c r="B7" s="4">
        <v>2</v>
      </c>
      <c r="C7" s="35" t="s">
        <v>303</v>
      </c>
      <c r="D7" s="4" t="s">
        <v>310</v>
      </c>
      <c r="E7" s="32">
        <v>2</v>
      </c>
      <c r="F7" s="5">
        <f t="shared" ref="F7:F67" si="0">_xlfn.IFS(D7="GOLD",200000,D7="SILVER",150000,D7="REGULER",110000)</f>
        <v>110000</v>
      </c>
      <c r="G7" s="29">
        <f t="shared" ref="G7:G67" si="1">E7*F7</f>
        <v>220000</v>
      </c>
      <c r="H7" s="28"/>
      <c r="K7" s="28">
        <v>2</v>
      </c>
      <c r="L7" s="28" t="s">
        <v>327</v>
      </c>
      <c r="M7" s="28" t="s">
        <v>35</v>
      </c>
      <c r="N7" s="4">
        <v>6</v>
      </c>
      <c r="O7" s="5">
        <f>_xlfn.IFS(M7="GOLD",200000,M7="SILVER",150000,M7="REGULER",110000)</f>
        <v>110000</v>
      </c>
      <c r="P7" s="29">
        <f>O7*N7</f>
        <v>660000</v>
      </c>
      <c r="Q7" s="20" t="s">
        <v>330</v>
      </c>
    </row>
    <row r="8" spans="2:17" ht="15.75" x14ac:dyDescent="0.25">
      <c r="B8" s="15">
        <v>3</v>
      </c>
      <c r="C8" s="35" t="s">
        <v>304</v>
      </c>
      <c r="D8" s="15" t="s">
        <v>310</v>
      </c>
      <c r="E8" s="32">
        <v>1</v>
      </c>
      <c r="F8" s="5">
        <f t="shared" si="0"/>
        <v>110000</v>
      </c>
      <c r="G8" s="23">
        <f t="shared" si="1"/>
        <v>110000</v>
      </c>
      <c r="H8" s="3"/>
    </row>
    <row r="9" spans="2:17" ht="15.75" x14ac:dyDescent="0.25">
      <c r="B9" s="4">
        <v>4</v>
      </c>
      <c r="C9" s="35" t="s">
        <v>305</v>
      </c>
      <c r="D9" s="15" t="s">
        <v>310</v>
      </c>
      <c r="E9" s="32">
        <v>2</v>
      </c>
      <c r="F9" s="5">
        <f t="shared" si="0"/>
        <v>110000</v>
      </c>
      <c r="G9" s="23">
        <f t="shared" si="1"/>
        <v>220000</v>
      </c>
      <c r="H9" s="3"/>
    </row>
    <row r="10" spans="2:17" ht="15.75" x14ac:dyDescent="0.25">
      <c r="B10" s="15">
        <v>5</v>
      </c>
      <c r="C10" s="35" t="s">
        <v>306</v>
      </c>
      <c r="D10" s="15" t="s">
        <v>310</v>
      </c>
      <c r="E10" s="32">
        <v>1</v>
      </c>
      <c r="F10" s="5">
        <f t="shared" si="0"/>
        <v>110000</v>
      </c>
      <c r="G10" s="23">
        <f t="shared" si="1"/>
        <v>110000</v>
      </c>
      <c r="H10" s="3"/>
    </row>
    <row r="11" spans="2:17" ht="15.75" x14ac:dyDescent="0.25">
      <c r="B11" s="4">
        <v>6</v>
      </c>
      <c r="C11" s="35" t="s">
        <v>307</v>
      </c>
      <c r="D11" s="15" t="s">
        <v>310</v>
      </c>
      <c r="E11" s="32">
        <v>4</v>
      </c>
      <c r="F11" s="5">
        <f t="shared" si="0"/>
        <v>110000</v>
      </c>
      <c r="G11" s="23">
        <f t="shared" si="1"/>
        <v>440000</v>
      </c>
      <c r="H11" s="3"/>
    </row>
    <row r="12" spans="2:17" ht="15.75" x14ac:dyDescent="0.25">
      <c r="B12" s="15">
        <v>7</v>
      </c>
      <c r="C12" s="35" t="s">
        <v>308</v>
      </c>
      <c r="D12" s="15" t="s">
        <v>310</v>
      </c>
      <c r="E12" s="32">
        <v>1</v>
      </c>
      <c r="F12" s="5">
        <f t="shared" si="0"/>
        <v>110000</v>
      </c>
      <c r="G12" s="23">
        <f t="shared" si="1"/>
        <v>110000</v>
      </c>
      <c r="H12" s="3"/>
    </row>
    <row r="13" spans="2:17" ht="15.75" x14ac:dyDescent="0.25">
      <c r="B13" s="4">
        <v>8</v>
      </c>
      <c r="C13" s="35" t="s">
        <v>285</v>
      </c>
      <c r="D13" s="15" t="s">
        <v>310</v>
      </c>
      <c r="E13" s="32">
        <v>1</v>
      </c>
      <c r="F13" s="5">
        <f t="shared" si="0"/>
        <v>110000</v>
      </c>
      <c r="G13" s="23">
        <f t="shared" si="1"/>
        <v>110000</v>
      </c>
      <c r="H13" s="3"/>
    </row>
    <row r="14" spans="2:17" ht="15.75" x14ac:dyDescent="0.25">
      <c r="B14" s="15">
        <v>9</v>
      </c>
      <c r="C14" s="35" t="s">
        <v>286</v>
      </c>
      <c r="D14" s="15" t="s">
        <v>310</v>
      </c>
      <c r="E14" s="32">
        <v>1</v>
      </c>
      <c r="F14" s="5">
        <f t="shared" si="0"/>
        <v>110000</v>
      </c>
      <c r="G14" s="23">
        <f t="shared" si="1"/>
        <v>110000</v>
      </c>
      <c r="H14" s="3"/>
    </row>
    <row r="15" spans="2:17" ht="15.75" x14ac:dyDescent="0.25">
      <c r="B15" s="4">
        <v>10</v>
      </c>
      <c r="C15" s="35" t="s">
        <v>284</v>
      </c>
      <c r="D15" s="15" t="s">
        <v>310</v>
      </c>
      <c r="E15" s="32">
        <v>2</v>
      </c>
      <c r="F15" s="5">
        <f t="shared" si="0"/>
        <v>110000</v>
      </c>
      <c r="G15" s="23">
        <f t="shared" si="1"/>
        <v>220000</v>
      </c>
      <c r="H15" s="3"/>
    </row>
    <row r="16" spans="2:17" ht="15.75" x14ac:dyDescent="0.25">
      <c r="B16" s="15">
        <v>11</v>
      </c>
      <c r="C16" s="35" t="s">
        <v>281</v>
      </c>
      <c r="D16" s="15" t="s">
        <v>310</v>
      </c>
      <c r="E16" s="32">
        <v>1</v>
      </c>
      <c r="F16" s="5">
        <f t="shared" si="0"/>
        <v>110000</v>
      </c>
      <c r="G16" s="23">
        <f t="shared" si="1"/>
        <v>110000</v>
      </c>
      <c r="H16" s="3"/>
    </row>
    <row r="17" spans="2:8" ht="15.75" x14ac:dyDescent="0.25">
      <c r="B17" s="4">
        <v>12</v>
      </c>
      <c r="C17" s="35" t="s">
        <v>280</v>
      </c>
      <c r="D17" s="15" t="s">
        <v>310</v>
      </c>
      <c r="E17" s="32">
        <v>2</v>
      </c>
      <c r="F17" s="5">
        <f t="shared" si="0"/>
        <v>110000</v>
      </c>
      <c r="G17" s="23">
        <f t="shared" si="1"/>
        <v>220000</v>
      </c>
      <c r="H17" s="3"/>
    </row>
    <row r="18" spans="2:8" ht="15.75" x14ac:dyDescent="0.25">
      <c r="B18" s="15">
        <v>13</v>
      </c>
      <c r="C18" s="35" t="s">
        <v>276</v>
      </c>
      <c r="D18" s="15" t="s">
        <v>310</v>
      </c>
      <c r="E18" s="32">
        <v>1</v>
      </c>
      <c r="F18" s="5">
        <f t="shared" si="0"/>
        <v>110000</v>
      </c>
      <c r="G18" s="23">
        <f t="shared" si="1"/>
        <v>110000</v>
      </c>
      <c r="H18" s="3"/>
    </row>
    <row r="19" spans="2:8" ht="15.75" x14ac:dyDescent="0.25">
      <c r="B19" s="4">
        <v>14</v>
      </c>
      <c r="C19" s="35" t="s">
        <v>278</v>
      </c>
      <c r="D19" s="15" t="s">
        <v>310</v>
      </c>
      <c r="E19" s="32">
        <v>1</v>
      </c>
      <c r="F19" s="5">
        <f t="shared" si="0"/>
        <v>110000</v>
      </c>
      <c r="G19" s="23">
        <f t="shared" si="1"/>
        <v>110000</v>
      </c>
      <c r="H19" s="3"/>
    </row>
    <row r="20" spans="2:8" ht="15.75" x14ac:dyDescent="0.25">
      <c r="B20" s="15">
        <v>15</v>
      </c>
      <c r="C20" s="35" t="s">
        <v>270</v>
      </c>
      <c r="D20" s="15" t="s">
        <v>310</v>
      </c>
      <c r="E20" s="32">
        <v>1</v>
      </c>
      <c r="F20" s="5">
        <f t="shared" si="0"/>
        <v>110000</v>
      </c>
      <c r="G20" s="23">
        <f t="shared" si="1"/>
        <v>110000</v>
      </c>
      <c r="H20" s="3"/>
    </row>
    <row r="21" spans="2:8" ht="15.75" x14ac:dyDescent="0.25">
      <c r="B21" s="4">
        <v>16</v>
      </c>
      <c r="C21" s="35" t="s">
        <v>272</v>
      </c>
      <c r="D21" s="15" t="s">
        <v>310</v>
      </c>
      <c r="E21" s="32">
        <v>2</v>
      </c>
      <c r="F21" s="5">
        <f t="shared" si="0"/>
        <v>110000</v>
      </c>
      <c r="G21" s="23">
        <f t="shared" si="1"/>
        <v>220000</v>
      </c>
      <c r="H21" s="3"/>
    </row>
    <row r="22" spans="2:8" ht="15.75" x14ac:dyDescent="0.25">
      <c r="B22" s="15">
        <v>17</v>
      </c>
      <c r="C22" s="35" t="s">
        <v>273</v>
      </c>
      <c r="D22" s="15" t="s">
        <v>310</v>
      </c>
      <c r="E22" s="32">
        <v>2</v>
      </c>
      <c r="F22" s="5">
        <f t="shared" si="0"/>
        <v>110000</v>
      </c>
      <c r="G22" s="23">
        <f t="shared" si="1"/>
        <v>220000</v>
      </c>
      <c r="H22" s="3"/>
    </row>
    <row r="23" spans="2:8" ht="15.75" x14ac:dyDescent="0.25">
      <c r="B23" s="4">
        <v>18</v>
      </c>
      <c r="C23" s="35" t="s">
        <v>271</v>
      </c>
      <c r="D23" s="15" t="s">
        <v>310</v>
      </c>
      <c r="E23" s="32">
        <v>1</v>
      </c>
      <c r="F23" s="5">
        <f t="shared" si="0"/>
        <v>110000</v>
      </c>
      <c r="G23" s="23">
        <f t="shared" si="1"/>
        <v>110000</v>
      </c>
      <c r="H23" s="3"/>
    </row>
    <row r="24" spans="2:8" ht="15.75" x14ac:dyDescent="0.25">
      <c r="B24" s="15">
        <v>19</v>
      </c>
      <c r="C24" s="35" t="s">
        <v>260</v>
      </c>
      <c r="D24" s="15" t="s">
        <v>310</v>
      </c>
      <c r="E24" s="32">
        <v>1</v>
      </c>
      <c r="F24" s="5">
        <f t="shared" si="0"/>
        <v>110000</v>
      </c>
      <c r="G24" s="23">
        <f t="shared" si="1"/>
        <v>110000</v>
      </c>
      <c r="H24" s="3"/>
    </row>
    <row r="25" spans="2:8" ht="15.75" x14ac:dyDescent="0.25">
      <c r="B25" s="4">
        <v>20</v>
      </c>
      <c r="C25" s="35" t="s">
        <v>269</v>
      </c>
      <c r="D25" s="15" t="s">
        <v>310</v>
      </c>
      <c r="E25" s="32">
        <v>1</v>
      </c>
      <c r="F25" s="5">
        <f t="shared" si="0"/>
        <v>110000</v>
      </c>
      <c r="G25" s="23">
        <f t="shared" si="1"/>
        <v>110000</v>
      </c>
      <c r="H25" s="3"/>
    </row>
    <row r="26" spans="2:8" ht="15.75" x14ac:dyDescent="0.25">
      <c r="B26" s="15">
        <v>21</v>
      </c>
      <c r="C26" s="35" t="s">
        <v>254</v>
      </c>
      <c r="D26" s="15" t="s">
        <v>310</v>
      </c>
      <c r="E26" s="32">
        <v>1</v>
      </c>
      <c r="F26" s="5">
        <f t="shared" si="0"/>
        <v>110000</v>
      </c>
      <c r="G26" s="23">
        <f t="shared" si="1"/>
        <v>110000</v>
      </c>
      <c r="H26" s="3"/>
    </row>
    <row r="27" spans="2:8" ht="15.75" x14ac:dyDescent="0.25">
      <c r="B27" s="4">
        <v>22</v>
      </c>
      <c r="C27" s="35" t="s">
        <v>255</v>
      </c>
      <c r="D27" s="15" t="s">
        <v>310</v>
      </c>
      <c r="E27" s="32">
        <v>3</v>
      </c>
      <c r="F27" s="5">
        <f t="shared" si="0"/>
        <v>110000</v>
      </c>
      <c r="G27" s="23">
        <f t="shared" si="1"/>
        <v>330000</v>
      </c>
      <c r="H27" s="3"/>
    </row>
    <row r="28" spans="2:8" ht="15.75" x14ac:dyDescent="0.25">
      <c r="B28" s="15">
        <v>23</v>
      </c>
      <c r="C28" s="35" t="s">
        <v>256</v>
      </c>
      <c r="D28" s="15" t="s">
        <v>310</v>
      </c>
      <c r="E28" s="32">
        <v>1</v>
      </c>
      <c r="F28" s="5">
        <f t="shared" si="0"/>
        <v>110000</v>
      </c>
      <c r="G28" s="23">
        <f t="shared" si="1"/>
        <v>110000</v>
      </c>
      <c r="H28" s="3"/>
    </row>
    <row r="29" spans="2:8" ht="15.75" x14ac:dyDescent="0.25">
      <c r="B29" s="4">
        <v>24</v>
      </c>
      <c r="C29" s="35" t="s">
        <v>263</v>
      </c>
      <c r="D29" s="15" t="s">
        <v>310</v>
      </c>
      <c r="E29" s="32">
        <v>1</v>
      </c>
      <c r="F29" s="5">
        <f t="shared" si="0"/>
        <v>110000</v>
      </c>
      <c r="G29" s="23">
        <f t="shared" si="1"/>
        <v>110000</v>
      </c>
      <c r="H29" s="3"/>
    </row>
    <row r="30" spans="2:8" s="18" customFormat="1" ht="31.5" x14ac:dyDescent="0.25">
      <c r="B30" s="15">
        <v>25</v>
      </c>
      <c r="C30" s="35" t="s">
        <v>257</v>
      </c>
      <c r="D30" s="4" t="s">
        <v>310</v>
      </c>
      <c r="E30" s="32">
        <v>2</v>
      </c>
      <c r="F30" s="5">
        <f t="shared" si="0"/>
        <v>110000</v>
      </c>
      <c r="G30" s="29">
        <f t="shared" si="1"/>
        <v>220000</v>
      </c>
      <c r="H30" s="28"/>
    </row>
    <row r="31" spans="2:8" ht="15.75" x14ac:dyDescent="0.25">
      <c r="B31" s="4">
        <v>26</v>
      </c>
      <c r="C31" s="35" t="s">
        <v>264</v>
      </c>
      <c r="D31" s="15" t="s">
        <v>310</v>
      </c>
      <c r="E31" s="32">
        <v>1</v>
      </c>
      <c r="F31" s="5">
        <f t="shared" si="0"/>
        <v>110000</v>
      </c>
      <c r="G31" s="23">
        <f t="shared" si="1"/>
        <v>110000</v>
      </c>
      <c r="H31" s="3"/>
    </row>
    <row r="32" spans="2:8" ht="15.75" x14ac:dyDescent="0.25">
      <c r="B32" s="15">
        <v>27</v>
      </c>
      <c r="C32" s="35" t="s">
        <v>265</v>
      </c>
      <c r="D32" s="15" t="s">
        <v>310</v>
      </c>
      <c r="E32" s="32">
        <v>1</v>
      </c>
      <c r="F32" s="5">
        <f t="shared" si="0"/>
        <v>110000</v>
      </c>
      <c r="G32" s="23">
        <f t="shared" si="1"/>
        <v>110000</v>
      </c>
      <c r="H32" s="3"/>
    </row>
    <row r="33" spans="2:8" ht="15.75" x14ac:dyDescent="0.25">
      <c r="B33" s="4">
        <v>28</v>
      </c>
      <c r="C33" s="35" t="s">
        <v>110</v>
      </c>
      <c r="D33" s="15" t="s">
        <v>310</v>
      </c>
      <c r="E33" s="32">
        <v>1</v>
      </c>
      <c r="F33" s="5">
        <f t="shared" si="0"/>
        <v>110000</v>
      </c>
      <c r="G33" s="23">
        <f t="shared" si="1"/>
        <v>110000</v>
      </c>
      <c r="H33" s="3"/>
    </row>
    <row r="34" spans="2:8" ht="15.75" x14ac:dyDescent="0.25">
      <c r="B34" s="15">
        <v>29</v>
      </c>
      <c r="C34" s="35" t="s">
        <v>248</v>
      </c>
      <c r="D34" s="15" t="s">
        <v>310</v>
      </c>
      <c r="E34" s="32">
        <v>1</v>
      </c>
      <c r="F34" s="5">
        <f t="shared" si="0"/>
        <v>110000</v>
      </c>
      <c r="G34" s="23">
        <f t="shared" si="1"/>
        <v>110000</v>
      </c>
      <c r="H34" s="3"/>
    </row>
    <row r="35" spans="2:8" ht="15.75" x14ac:dyDescent="0.25">
      <c r="B35" s="4">
        <v>30</v>
      </c>
      <c r="C35" s="35" t="s">
        <v>233</v>
      </c>
      <c r="D35" s="15" t="s">
        <v>310</v>
      </c>
      <c r="E35" s="32">
        <v>1</v>
      </c>
      <c r="F35" s="5">
        <f t="shared" si="0"/>
        <v>110000</v>
      </c>
      <c r="G35" s="23">
        <f t="shared" si="1"/>
        <v>110000</v>
      </c>
      <c r="H35" s="3"/>
    </row>
    <row r="36" spans="2:8" ht="15.75" x14ac:dyDescent="0.25">
      <c r="B36" s="15">
        <v>31</v>
      </c>
      <c r="C36" s="35" t="s">
        <v>221</v>
      </c>
      <c r="D36" s="15" t="s">
        <v>310</v>
      </c>
      <c r="E36" s="32">
        <v>1</v>
      </c>
      <c r="F36" s="5">
        <f t="shared" si="0"/>
        <v>110000</v>
      </c>
      <c r="G36" s="23">
        <f t="shared" si="1"/>
        <v>110000</v>
      </c>
      <c r="H36" s="3"/>
    </row>
    <row r="37" spans="2:8" ht="15.75" x14ac:dyDescent="0.25">
      <c r="B37" s="4">
        <v>32</v>
      </c>
      <c r="C37" s="35" t="s">
        <v>217</v>
      </c>
      <c r="D37" s="15" t="s">
        <v>310</v>
      </c>
      <c r="E37" s="32">
        <v>1</v>
      </c>
      <c r="F37" s="5">
        <f t="shared" si="0"/>
        <v>110000</v>
      </c>
      <c r="G37" s="23">
        <f t="shared" si="1"/>
        <v>110000</v>
      </c>
      <c r="H37" s="3"/>
    </row>
    <row r="38" spans="2:8" ht="15.75" x14ac:dyDescent="0.25">
      <c r="B38" s="15">
        <v>33</v>
      </c>
      <c r="C38" s="35" t="s">
        <v>215</v>
      </c>
      <c r="D38" s="15" t="s">
        <v>310</v>
      </c>
      <c r="E38" s="32">
        <v>1</v>
      </c>
      <c r="F38" s="5">
        <f t="shared" si="0"/>
        <v>110000</v>
      </c>
      <c r="G38" s="23">
        <f t="shared" si="1"/>
        <v>110000</v>
      </c>
      <c r="H38" s="3"/>
    </row>
    <row r="39" spans="2:8" ht="15.75" x14ac:dyDescent="0.25">
      <c r="B39" s="4">
        <v>34</v>
      </c>
      <c r="C39" s="35" t="s">
        <v>219</v>
      </c>
      <c r="D39" s="15" t="s">
        <v>310</v>
      </c>
      <c r="E39" s="32">
        <v>6</v>
      </c>
      <c r="F39" s="5">
        <f t="shared" si="0"/>
        <v>110000</v>
      </c>
      <c r="G39" s="23">
        <f t="shared" si="1"/>
        <v>660000</v>
      </c>
      <c r="H39" s="3"/>
    </row>
    <row r="40" spans="2:8" ht="15.75" x14ac:dyDescent="0.25">
      <c r="B40" s="15">
        <v>35</v>
      </c>
      <c r="C40" s="35" t="s">
        <v>213</v>
      </c>
      <c r="D40" s="15" t="s">
        <v>310</v>
      </c>
      <c r="E40" s="32">
        <v>1</v>
      </c>
      <c r="F40" s="5">
        <f t="shared" si="0"/>
        <v>110000</v>
      </c>
      <c r="G40" s="23">
        <f t="shared" si="1"/>
        <v>110000</v>
      </c>
      <c r="H40" s="3"/>
    </row>
    <row r="41" spans="2:8" ht="15.75" x14ac:dyDescent="0.25">
      <c r="B41" s="4">
        <v>36</v>
      </c>
      <c r="C41" s="35" t="s">
        <v>207</v>
      </c>
      <c r="D41" s="15" t="s">
        <v>310</v>
      </c>
      <c r="E41" s="32">
        <v>1</v>
      </c>
      <c r="F41" s="5">
        <f t="shared" si="0"/>
        <v>110000</v>
      </c>
      <c r="G41" s="23">
        <f t="shared" si="1"/>
        <v>110000</v>
      </c>
      <c r="H41" s="3"/>
    </row>
    <row r="42" spans="2:8" ht="15.75" x14ac:dyDescent="0.25">
      <c r="B42" s="15">
        <v>37</v>
      </c>
      <c r="C42" s="35" t="s">
        <v>202</v>
      </c>
      <c r="D42" s="15" t="s">
        <v>310</v>
      </c>
      <c r="E42" s="32">
        <v>1</v>
      </c>
      <c r="F42" s="5">
        <f t="shared" si="0"/>
        <v>110000</v>
      </c>
      <c r="G42" s="23">
        <f t="shared" si="1"/>
        <v>110000</v>
      </c>
      <c r="H42" s="3"/>
    </row>
    <row r="43" spans="2:8" ht="15.75" x14ac:dyDescent="0.25">
      <c r="B43" s="4">
        <v>38</v>
      </c>
      <c r="C43" s="35" t="s">
        <v>200</v>
      </c>
      <c r="D43" s="15" t="s">
        <v>310</v>
      </c>
      <c r="E43" s="32">
        <v>1</v>
      </c>
      <c r="F43" s="5">
        <f t="shared" si="0"/>
        <v>110000</v>
      </c>
      <c r="G43" s="23">
        <f t="shared" si="1"/>
        <v>110000</v>
      </c>
      <c r="H43" s="3"/>
    </row>
    <row r="44" spans="2:8" ht="15.75" x14ac:dyDescent="0.25">
      <c r="B44" s="15">
        <v>39</v>
      </c>
      <c r="C44" s="35" t="s">
        <v>197</v>
      </c>
      <c r="D44" s="15" t="s">
        <v>310</v>
      </c>
      <c r="E44" s="32">
        <v>1</v>
      </c>
      <c r="F44" s="5">
        <f t="shared" si="0"/>
        <v>110000</v>
      </c>
      <c r="G44" s="23">
        <f t="shared" si="1"/>
        <v>110000</v>
      </c>
      <c r="H44" s="3"/>
    </row>
    <row r="45" spans="2:8" ht="15.75" x14ac:dyDescent="0.25">
      <c r="B45" s="4">
        <v>40</v>
      </c>
      <c r="C45" s="35" t="s">
        <v>123</v>
      </c>
      <c r="D45" s="15" t="s">
        <v>310</v>
      </c>
      <c r="E45" s="32">
        <v>2</v>
      </c>
      <c r="F45" s="5">
        <f t="shared" si="0"/>
        <v>110000</v>
      </c>
      <c r="G45" s="23">
        <f t="shared" si="1"/>
        <v>220000</v>
      </c>
      <c r="H45" s="3"/>
    </row>
    <row r="46" spans="2:8" ht="15.75" x14ac:dyDescent="0.25">
      <c r="B46" s="15">
        <v>41</v>
      </c>
      <c r="C46" s="35" t="s">
        <v>125</v>
      </c>
      <c r="D46" s="15" t="s">
        <v>310</v>
      </c>
      <c r="E46" s="32">
        <v>5</v>
      </c>
      <c r="F46" s="5">
        <f t="shared" si="0"/>
        <v>110000</v>
      </c>
      <c r="G46" s="23">
        <f t="shared" si="1"/>
        <v>550000</v>
      </c>
      <c r="H46" s="3"/>
    </row>
    <row r="47" spans="2:8" ht="15.75" x14ac:dyDescent="0.25">
      <c r="B47" s="4">
        <v>42</v>
      </c>
      <c r="C47" s="35" t="s">
        <v>185</v>
      </c>
      <c r="D47" s="15" t="s">
        <v>310</v>
      </c>
      <c r="E47" s="32">
        <v>3</v>
      </c>
      <c r="F47" s="5">
        <f t="shared" si="0"/>
        <v>110000</v>
      </c>
      <c r="G47" s="23">
        <f t="shared" si="1"/>
        <v>330000</v>
      </c>
      <c r="H47" s="3"/>
    </row>
    <row r="48" spans="2:8" ht="15.75" x14ac:dyDescent="0.25">
      <c r="B48" s="15">
        <v>43</v>
      </c>
      <c r="C48" s="35" t="s">
        <v>182</v>
      </c>
      <c r="D48" s="15" t="s">
        <v>310</v>
      </c>
      <c r="E48" s="32">
        <v>2</v>
      </c>
      <c r="F48" s="5">
        <f t="shared" si="0"/>
        <v>110000</v>
      </c>
      <c r="G48" s="23">
        <f t="shared" si="1"/>
        <v>220000</v>
      </c>
      <c r="H48" s="3"/>
    </row>
    <row r="49" spans="2:8" ht="15.75" x14ac:dyDescent="0.25">
      <c r="B49" s="4">
        <v>44</v>
      </c>
      <c r="C49" s="35" t="s">
        <v>179</v>
      </c>
      <c r="D49" s="15" t="s">
        <v>310</v>
      </c>
      <c r="E49" s="32">
        <v>4</v>
      </c>
      <c r="F49" s="5">
        <f t="shared" si="0"/>
        <v>110000</v>
      </c>
      <c r="G49" s="23">
        <f t="shared" si="1"/>
        <v>440000</v>
      </c>
      <c r="H49" s="3"/>
    </row>
    <row r="50" spans="2:8" ht="15.75" x14ac:dyDescent="0.25">
      <c r="B50" s="15">
        <v>45</v>
      </c>
      <c r="C50" s="35" t="s">
        <v>175</v>
      </c>
      <c r="D50" s="15" t="s">
        <v>310</v>
      </c>
      <c r="E50" s="32">
        <v>1</v>
      </c>
      <c r="F50" s="5">
        <f t="shared" si="0"/>
        <v>110000</v>
      </c>
      <c r="G50" s="23">
        <f t="shared" si="1"/>
        <v>110000</v>
      </c>
      <c r="H50" s="3"/>
    </row>
    <row r="51" spans="2:8" ht="15.75" x14ac:dyDescent="0.25">
      <c r="B51" s="4">
        <v>46</v>
      </c>
      <c r="C51" s="35" t="s">
        <v>169</v>
      </c>
      <c r="D51" s="15" t="s">
        <v>310</v>
      </c>
      <c r="E51" s="32">
        <v>1</v>
      </c>
      <c r="F51" s="5">
        <f t="shared" si="0"/>
        <v>110000</v>
      </c>
      <c r="G51" s="23">
        <f t="shared" si="1"/>
        <v>110000</v>
      </c>
      <c r="H51" s="3"/>
    </row>
    <row r="52" spans="2:8" ht="15.75" x14ac:dyDescent="0.25">
      <c r="B52" s="15">
        <v>47</v>
      </c>
      <c r="C52" s="35" t="s">
        <v>165</v>
      </c>
      <c r="D52" s="15" t="s">
        <v>310</v>
      </c>
      <c r="E52" s="32">
        <v>1</v>
      </c>
      <c r="F52" s="5">
        <f t="shared" si="0"/>
        <v>110000</v>
      </c>
      <c r="G52" s="23">
        <f t="shared" si="1"/>
        <v>110000</v>
      </c>
      <c r="H52" s="3"/>
    </row>
    <row r="53" spans="2:8" ht="15.75" x14ac:dyDescent="0.25">
      <c r="B53" s="4">
        <v>48</v>
      </c>
      <c r="C53" s="35" t="s">
        <v>164</v>
      </c>
      <c r="D53" s="15" t="s">
        <v>310</v>
      </c>
      <c r="E53" s="32">
        <v>2</v>
      </c>
      <c r="F53" s="5">
        <f t="shared" si="0"/>
        <v>110000</v>
      </c>
      <c r="G53" s="23">
        <f t="shared" si="1"/>
        <v>220000</v>
      </c>
      <c r="H53" s="3"/>
    </row>
    <row r="54" spans="2:8" ht="15.75" x14ac:dyDescent="0.25">
      <c r="B54" s="15">
        <v>49</v>
      </c>
      <c r="C54" s="35" t="s">
        <v>150</v>
      </c>
      <c r="D54" s="15" t="s">
        <v>310</v>
      </c>
      <c r="E54" s="32">
        <v>3</v>
      </c>
      <c r="F54" s="5">
        <f t="shared" si="0"/>
        <v>110000</v>
      </c>
      <c r="G54" s="23">
        <f t="shared" si="1"/>
        <v>330000</v>
      </c>
      <c r="H54" s="3"/>
    </row>
    <row r="55" spans="2:8" ht="15.75" x14ac:dyDescent="0.25">
      <c r="B55" s="4">
        <v>50</v>
      </c>
      <c r="C55" s="35" t="s">
        <v>148</v>
      </c>
      <c r="D55" s="15" t="s">
        <v>310</v>
      </c>
      <c r="E55" s="32">
        <v>1</v>
      </c>
      <c r="F55" s="5">
        <f t="shared" si="0"/>
        <v>110000</v>
      </c>
      <c r="G55" s="23">
        <f t="shared" si="1"/>
        <v>110000</v>
      </c>
      <c r="H55" s="3"/>
    </row>
    <row r="56" spans="2:8" ht="15.75" x14ac:dyDescent="0.25">
      <c r="B56" s="15">
        <v>51</v>
      </c>
      <c r="C56" s="35" t="s">
        <v>87</v>
      </c>
      <c r="D56" s="15" t="s">
        <v>310</v>
      </c>
      <c r="E56" s="32">
        <v>1</v>
      </c>
      <c r="F56" s="5">
        <f t="shared" si="0"/>
        <v>110000</v>
      </c>
      <c r="G56" s="23">
        <f t="shared" si="1"/>
        <v>110000</v>
      </c>
      <c r="H56" s="3"/>
    </row>
    <row r="57" spans="2:8" ht="15.75" x14ac:dyDescent="0.25">
      <c r="B57" s="4">
        <v>52</v>
      </c>
      <c r="C57" s="35" t="s">
        <v>128</v>
      </c>
      <c r="D57" s="15" t="s">
        <v>310</v>
      </c>
      <c r="E57" s="32">
        <v>3</v>
      </c>
      <c r="F57" s="5">
        <f t="shared" si="0"/>
        <v>110000</v>
      </c>
      <c r="G57" s="23">
        <f t="shared" si="1"/>
        <v>330000</v>
      </c>
      <c r="H57" s="3"/>
    </row>
    <row r="58" spans="2:8" ht="15.75" x14ac:dyDescent="0.25">
      <c r="B58" s="15">
        <v>53</v>
      </c>
      <c r="C58" s="35" t="s">
        <v>136</v>
      </c>
      <c r="D58" s="15" t="s">
        <v>310</v>
      </c>
      <c r="E58" s="32">
        <v>1</v>
      </c>
      <c r="F58" s="5">
        <f t="shared" si="0"/>
        <v>110000</v>
      </c>
      <c r="G58" s="23">
        <f t="shared" si="1"/>
        <v>110000</v>
      </c>
      <c r="H58" s="3"/>
    </row>
    <row r="59" spans="2:8" ht="15.75" x14ac:dyDescent="0.25">
      <c r="B59" s="4">
        <v>54</v>
      </c>
      <c r="C59" s="35" t="s">
        <v>78</v>
      </c>
      <c r="D59" s="15" t="s">
        <v>310</v>
      </c>
      <c r="E59" s="32">
        <v>1</v>
      </c>
      <c r="F59" s="5">
        <f t="shared" si="0"/>
        <v>110000</v>
      </c>
      <c r="G59" s="23">
        <f t="shared" si="1"/>
        <v>110000</v>
      </c>
      <c r="H59" s="3"/>
    </row>
    <row r="60" spans="2:8" ht="15.75" x14ac:dyDescent="0.25">
      <c r="B60" s="15">
        <v>55</v>
      </c>
      <c r="C60" s="35" t="s">
        <v>67</v>
      </c>
      <c r="D60" s="15" t="s">
        <v>310</v>
      </c>
      <c r="E60" s="32">
        <v>2</v>
      </c>
      <c r="F60" s="5">
        <f t="shared" si="0"/>
        <v>110000</v>
      </c>
      <c r="G60" s="23">
        <f t="shared" si="1"/>
        <v>220000</v>
      </c>
      <c r="H60" s="3"/>
    </row>
    <row r="61" spans="2:8" ht="15.75" x14ac:dyDescent="0.25">
      <c r="B61" s="4">
        <v>56</v>
      </c>
      <c r="C61" s="35" t="s">
        <v>64</v>
      </c>
      <c r="D61" s="15" t="s">
        <v>310</v>
      </c>
      <c r="E61" s="32">
        <v>1</v>
      </c>
      <c r="F61" s="5">
        <f t="shared" si="0"/>
        <v>110000</v>
      </c>
      <c r="G61" s="23">
        <f t="shared" si="1"/>
        <v>110000</v>
      </c>
      <c r="H61" s="3"/>
    </row>
    <row r="62" spans="2:8" ht="15.75" x14ac:dyDescent="0.25">
      <c r="B62" s="15">
        <v>57</v>
      </c>
      <c r="C62" s="35" t="s">
        <v>19</v>
      </c>
      <c r="D62" s="15" t="s">
        <v>310</v>
      </c>
      <c r="E62" s="32">
        <v>2</v>
      </c>
      <c r="F62" s="5">
        <f t="shared" si="0"/>
        <v>110000</v>
      </c>
      <c r="G62" s="23">
        <f t="shared" si="1"/>
        <v>220000</v>
      </c>
      <c r="H62" s="3"/>
    </row>
    <row r="63" spans="2:8" ht="15.75" x14ac:dyDescent="0.25">
      <c r="B63" s="4">
        <v>58</v>
      </c>
      <c r="C63" s="35" t="s">
        <v>17</v>
      </c>
      <c r="D63" s="15" t="s">
        <v>310</v>
      </c>
      <c r="E63" s="32">
        <v>4</v>
      </c>
      <c r="F63" s="5">
        <f t="shared" si="0"/>
        <v>110000</v>
      </c>
      <c r="G63" s="23">
        <f t="shared" si="1"/>
        <v>440000</v>
      </c>
      <c r="H63" s="3"/>
    </row>
    <row r="64" spans="2:8" ht="15.75" x14ac:dyDescent="0.25">
      <c r="B64" s="15">
        <v>59</v>
      </c>
      <c r="C64" s="35" t="s">
        <v>16</v>
      </c>
      <c r="D64" s="15" t="s">
        <v>310</v>
      </c>
      <c r="E64" s="32">
        <v>1</v>
      </c>
      <c r="F64" s="5">
        <f t="shared" si="0"/>
        <v>110000</v>
      </c>
      <c r="G64" s="23">
        <f t="shared" si="1"/>
        <v>110000</v>
      </c>
      <c r="H64" s="3"/>
    </row>
    <row r="65" spans="2:8" ht="15.75" x14ac:dyDescent="0.25">
      <c r="B65" s="4">
        <v>60</v>
      </c>
      <c r="C65" s="54" t="s">
        <v>15</v>
      </c>
      <c r="D65" s="53" t="s">
        <v>310</v>
      </c>
      <c r="E65" s="55">
        <v>1</v>
      </c>
      <c r="F65" s="16">
        <f t="shared" si="0"/>
        <v>110000</v>
      </c>
      <c r="G65" s="23">
        <f t="shared" si="1"/>
        <v>110000</v>
      </c>
      <c r="H65" s="3"/>
    </row>
    <row r="66" spans="2:8" x14ac:dyDescent="0.25">
      <c r="B66" s="15">
        <v>61</v>
      </c>
      <c r="C66" s="50" t="s">
        <v>315</v>
      </c>
      <c r="D66" s="15" t="s">
        <v>310</v>
      </c>
      <c r="E66" s="56">
        <v>3</v>
      </c>
      <c r="F66" s="5">
        <f t="shared" si="0"/>
        <v>110000</v>
      </c>
      <c r="G66" s="23">
        <f t="shared" si="1"/>
        <v>330000</v>
      </c>
      <c r="H66" s="3"/>
    </row>
    <row r="67" spans="2:8" x14ac:dyDescent="0.25">
      <c r="B67" s="4">
        <v>62</v>
      </c>
      <c r="C67" s="51" t="s">
        <v>316</v>
      </c>
      <c r="D67" s="15" t="s">
        <v>310</v>
      </c>
      <c r="E67" s="57">
        <v>1</v>
      </c>
      <c r="F67" s="5">
        <f t="shared" si="0"/>
        <v>110000</v>
      </c>
      <c r="G67" s="23">
        <f t="shared" si="1"/>
        <v>110000</v>
      </c>
      <c r="H67" s="3"/>
    </row>
    <row r="68" spans="2:8" x14ac:dyDescent="0.25">
      <c r="B68" s="15">
        <v>63</v>
      </c>
      <c r="C68" s="50" t="s">
        <v>317</v>
      </c>
      <c r="D68" s="15" t="s">
        <v>310</v>
      </c>
      <c r="E68" s="56">
        <v>3</v>
      </c>
      <c r="F68" s="5">
        <f>_xlfn.IFS(D68="GOLD",200000,D68="SILVER",150000,D68="REGULER",110000)</f>
        <v>110000</v>
      </c>
      <c r="G68" s="23">
        <f>E68*F68</f>
        <v>330000</v>
      </c>
      <c r="H68" s="3"/>
    </row>
    <row r="69" spans="2:8" x14ac:dyDescent="0.25">
      <c r="B69" s="4">
        <v>64</v>
      </c>
      <c r="C69" s="50" t="s">
        <v>318</v>
      </c>
      <c r="D69" s="15" t="s">
        <v>310</v>
      </c>
      <c r="E69" s="56">
        <v>2</v>
      </c>
      <c r="F69" s="5">
        <f>_xlfn.IFS(D69="GOLD",200000,D69="SILVER",150000,D69="REGULER",110000)</f>
        <v>110000</v>
      </c>
      <c r="G69" s="23">
        <f>E69*F69</f>
        <v>220000</v>
      </c>
      <c r="H69" s="3"/>
    </row>
    <row r="70" spans="2:8" x14ac:dyDescent="0.25">
      <c r="B70" s="15">
        <v>65</v>
      </c>
      <c r="C70" s="50" t="s">
        <v>320</v>
      </c>
      <c r="D70" s="15" t="s">
        <v>310</v>
      </c>
      <c r="E70" s="56">
        <v>1</v>
      </c>
      <c r="F70" s="5">
        <f>_xlfn.IFS(D70="GOLD",200000,D70="SILVER",150000,D70="REGULER",110000)</f>
        <v>110000</v>
      </c>
      <c r="G70" s="23">
        <f>E70*F70</f>
        <v>110000</v>
      </c>
      <c r="H70" s="3"/>
    </row>
    <row r="71" spans="2:8" x14ac:dyDescent="0.25">
      <c r="B71" s="4">
        <v>66</v>
      </c>
      <c r="C71" s="58" t="s">
        <v>321</v>
      </c>
      <c r="D71" s="44" t="s">
        <v>310</v>
      </c>
      <c r="E71" s="59">
        <v>2</v>
      </c>
      <c r="F71" s="5">
        <f>_xlfn.IFS(D71="GOLD",200000,D71="SILVER",150000,D71="REGULER",110000)</f>
        <v>110000</v>
      </c>
      <c r="G71" s="23">
        <f>E71*F71</f>
        <v>220000</v>
      </c>
      <c r="H71" s="3"/>
    </row>
    <row r="72" spans="2:8" ht="15.75" x14ac:dyDescent="0.25">
      <c r="B72" s="15">
        <v>67</v>
      </c>
      <c r="C72" s="13" t="s">
        <v>352</v>
      </c>
      <c r="D72" s="44" t="s">
        <v>310</v>
      </c>
      <c r="E72" s="32">
        <v>2</v>
      </c>
      <c r="F72" s="5">
        <f t="shared" ref="F72:F78" si="2">_xlfn.IFS(D72="GOLD",200000,D72="SILVER",150000,D72="REGULER",110000)</f>
        <v>110000</v>
      </c>
      <c r="G72" s="23">
        <f t="shared" ref="G72:G78" si="3">E72*F72</f>
        <v>220000</v>
      </c>
      <c r="H72" s="3"/>
    </row>
    <row r="73" spans="2:8" ht="15.75" x14ac:dyDescent="0.25">
      <c r="B73" s="4">
        <v>68</v>
      </c>
      <c r="C73" s="13" t="s">
        <v>353</v>
      </c>
      <c r="D73" s="44" t="s">
        <v>310</v>
      </c>
      <c r="E73" s="32">
        <v>1</v>
      </c>
      <c r="F73" s="5">
        <f t="shared" si="2"/>
        <v>110000</v>
      </c>
      <c r="G73" s="23">
        <f t="shared" si="3"/>
        <v>110000</v>
      </c>
      <c r="H73" s="3"/>
    </row>
    <row r="74" spans="2:8" ht="15.75" x14ac:dyDescent="0.25">
      <c r="B74" s="15">
        <v>69</v>
      </c>
      <c r="C74" s="13" t="s">
        <v>354</v>
      </c>
      <c r="D74" s="44" t="s">
        <v>310</v>
      </c>
      <c r="E74" s="32">
        <v>1</v>
      </c>
      <c r="F74" s="5">
        <f t="shared" si="2"/>
        <v>110000</v>
      </c>
      <c r="G74" s="23">
        <f t="shared" si="3"/>
        <v>110000</v>
      </c>
      <c r="H74" s="3"/>
    </row>
    <row r="75" spans="2:8" ht="15.75" x14ac:dyDescent="0.25">
      <c r="B75" s="4">
        <v>70</v>
      </c>
      <c r="C75" s="13" t="s">
        <v>355</v>
      </c>
      <c r="D75" s="44" t="s">
        <v>310</v>
      </c>
      <c r="E75" s="32">
        <v>1</v>
      </c>
      <c r="F75" s="5">
        <f t="shared" si="2"/>
        <v>110000</v>
      </c>
      <c r="G75" s="23">
        <f t="shared" si="3"/>
        <v>110000</v>
      </c>
      <c r="H75" s="3"/>
    </row>
    <row r="76" spans="2:8" ht="15.75" x14ac:dyDescent="0.25">
      <c r="B76" s="15">
        <v>71</v>
      </c>
      <c r="C76" s="13" t="s">
        <v>356</v>
      </c>
      <c r="D76" s="44" t="s">
        <v>310</v>
      </c>
      <c r="E76" s="32">
        <v>1</v>
      </c>
      <c r="F76" s="5">
        <f t="shared" si="2"/>
        <v>110000</v>
      </c>
      <c r="G76" s="23">
        <f t="shared" si="3"/>
        <v>110000</v>
      </c>
      <c r="H76" s="3"/>
    </row>
    <row r="77" spans="2:8" ht="15.75" x14ac:dyDescent="0.25">
      <c r="B77" s="4">
        <v>72</v>
      </c>
      <c r="C77" s="13" t="s">
        <v>357</v>
      </c>
      <c r="D77" s="44" t="s">
        <v>310</v>
      </c>
      <c r="E77" s="32">
        <v>3</v>
      </c>
      <c r="F77" s="5">
        <f t="shared" si="2"/>
        <v>110000</v>
      </c>
      <c r="G77" s="23">
        <f t="shared" si="3"/>
        <v>330000</v>
      </c>
      <c r="H77" s="3"/>
    </row>
    <row r="78" spans="2:8" ht="15.75" x14ac:dyDescent="0.25">
      <c r="B78" s="15">
        <v>73</v>
      </c>
      <c r="C78" s="13" t="s">
        <v>358</v>
      </c>
      <c r="D78" s="44" t="s">
        <v>310</v>
      </c>
      <c r="E78" s="32">
        <v>2</v>
      </c>
      <c r="F78" s="5">
        <f t="shared" si="2"/>
        <v>110000</v>
      </c>
      <c r="G78" s="23">
        <f t="shared" si="3"/>
        <v>220000</v>
      </c>
      <c r="H78" s="3"/>
    </row>
  </sheetData>
  <mergeCells count="4">
    <mergeCell ref="I3:I4"/>
    <mergeCell ref="J3:J4"/>
    <mergeCell ref="K1:Q1"/>
    <mergeCell ref="N3:O3"/>
  </mergeCells>
  <conditionalFormatting sqref="C66:C71">
    <cfRule type="duplicateValues" dxfId="477" priority="12"/>
    <cfRule type="duplicateValues" dxfId="476" priority="13"/>
    <cfRule type="duplicateValues" dxfId="475" priority="14"/>
  </conditionalFormatting>
  <conditionalFormatting sqref="C72:C78">
    <cfRule type="duplicateValues" dxfId="474" priority="1"/>
    <cfRule type="duplicateValues" dxfId="473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7999-55AE-4FAE-B8E2-257C29CB2FDB}">
  <dimension ref="B1:Q411"/>
  <sheetViews>
    <sheetView tabSelected="1" zoomScale="85" zoomScaleNormal="85" workbookViewId="0">
      <selection activeCell="I2" sqref="I2"/>
    </sheetView>
  </sheetViews>
  <sheetFormatPr defaultRowHeight="15" x14ac:dyDescent="0.25"/>
  <cols>
    <col min="2" max="2" width="4.42578125" customWidth="1"/>
    <col min="3" max="3" width="15" customWidth="1"/>
    <col min="4" max="4" width="29.5703125" customWidth="1"/>
    <col min="5" max="5" width="21" style="24" customWidth="1"/>
    <col min="6" max="6" width="17.140625" style="39" customWidth="1"/>
    <col min="7" max="7" width="13" customWidth="1"/>
    <col min="8" max="8" width="9.5703125" customWidth="1"/>
    <col min="9" max="9" width="25.140625" customWidth="1"/>
    <col min="12" max="12" width="13.28515625" style="1" customWidth="1"/>
    <col min="13" max="13" width="18.28515625" customWidth="1"/>
    <col min="14" max="14" width="21.7109375" customWidth="1"/>
    <col min="15" max="15" width="19.42578125" customWidth="1"/>
    <col min="16" max="16" width="14" style="24" bestFit="1" customWidth="1"/>
    <col min="17" max="17" width="15" bestFit="1" customWidth="1"/>
  </cols>
  <sheetData>
    <row r="1" spans="2:17" x14ac:dyDescent="0.25">
      <c r="F1" s="89" t="s">
        <v>3</v>
      </c>
      <c r="G1" s="90">
        <f>SUM(H6:H499)</f>
        <v>758</v>
      </c>
      <c r="H1" s="8" t="s">
        <v>35</v>
      </c>
      <c r="I1" s="8">
        <f>SUMIF(G6:G499,"REGULER",H6:H499)</f>
        <v>156</v>
      </c>
      <c r="L1" s="1" t="s">
        <v>35</v>
      </c>
      <c r="M1">
        <v>5</v>
      </c>
      <c r="N1">
        <f>I1+M1</f>
        <v>161</v>
      </c>
      <c r="O1">
        <v>30</v>
      </c>
      <c r="P1" s="24">
        <f>N1*110000</f>
        <v>17710000</v>
      </c>
      <c r="Q1">
        <f>O1*110000</f>
        <v>3300000</v>
      </c>
    </row>
    <row r="2" spans="2:17" x14ac:dyDescent="0.25">
      <c r="C2" s="81" t="s">
        <v>655</v>
      </c>
      <c r="D2" s="81"/>
      <c r="E2" s="25">
        <f>SUM(E6:E503)</f>
        <v>120970000</v>
      </c>
      <c r="F2" s="89"/>
      <c r="G2" s="90"/>
      <c r="H2" s="9" t="s">
        <v>34</v>
      </c>
      <c r="I2" s="8">
        <f>SUMIF(G6:G499,"SILVER",H6:H499)</f>
        <v>308</v>
      </c>
      <c r="L2" s="1" t="s">
        <v>34</v>
      </c>
      <c r="M2">
        <v>34</v>
      </c>
      <c r="N2">
        <f>I2+M2</f>
        <v>342</v>
      </c>
      <c r="P2" s="24">
        <f>N2*150000</f>
        <v>51300000</v>
      </c>
    </row>
    <row r="3" spans="2:17" x14ac:dyDescent="0.25">
      <c r="F3" s="89"/>
      <c r="G3" s="90"/>
      <c r="H3" s="10" t="s">
        <v>33</v>
      </c>
      <c r="I3" s="8">
        <f>SUMIF(G6:G499,"GOLD",H6:H499)</f>
        <v>275</v>
      </c>
      <c r="L3" s="1" t="s">
        <v>33</v>
      </c>
      <c r="M3">
        <v>18</v>
      </c>
      <c r="N3">
        <f>I3+M3</f>
        <v>293</v>
      </c>
      <c r="P3" s="24">
        <f>267*200000</f>
        <v>53400000</v>
      </c>
      <c r="Q3" s="24">
        <f>P3-2000000</f>
        <v>51400000</v>
      </c>
    </row>
    <row r="4" spans="2:17" ht="13.5" customHeight="1" x14ac:dyDescent="0.25">
      <c r="F4" s="68"/>
      <c r="G4" s="63"/>
      <c r="H4" s="8"/>
      <c r="I4" s="8"/>
      <c r="N4">
        <f>SUM(N1:N3)</f>
        <v>796</v>
      </c>
      <c r="Q4" s="24">
        <f>SUM(P1,P2,Q3,Q1)</f>
        <v>123710000</v>
      </c>
    </row>
    <row r="5" spans="2:17" ht="60" x14ac:dyDescent="0.25">
      <c r="B5" s="45" t="s">
        <v>0</v>
      </c>
      <c r="C5" s="19" t="s">
        <v>656</v>
      </c>
      <c r="D5" s="19" t="s">
        <v>657</v>
      </c>
      <c r="E5" s="61" t="s">
        <v>658</v>
      </c>
      <c r="F5" s="26" t="s">
        <v>1</v>
      </c>
      <c r="G5" s="19" t="s">
        <v>2</v>
      </c>
      <c r="H5" s="19" t="s">
        <v>3</v>
      </c>
      <c r="I5" s="19"/>
      <c r="J5" s="19" t="s">
        <v>654</v>
      </c>
      <c r="K5" s="46"/>
      <c r="L5" s="8" t="s">
        <v>288</v>
      </c>
      <c r="M5" s="8" t="s">
        <v>407</v>
      </c>
      <c r="N5" s="8" t="s">
        <v>402</v>
      </c>
      <c r="O5" s="8" t="s">
        <v>404</v>
      </c>
      <c r="P5" s="91" t="s">
        <v>405</v>
      </c>
      <c r="Q5" s="92"/>
    </row>
    <row r="6" spans="2:17" ht="19.5" customHeight="1" x14ac:dyDescent="0.25">
      <c r="B6" s="45">
        <v>1</v>
      </c>
      <c r="C6" s="45" t="s">
        <v>614</v>
      </c>
      <c r="D6" s="45" t="s">
        <v>649</v>
      </c>
      <c r="E6" s="60">
        <v>600000</v>
      </c>
      <c r="F6" s="69" t="s">
        <v>649</v>
      </c>
      <c r="G6" s="45" t="s">
        <v>33</v>
      </c>
      <c r="H6" s="45">
        <v>3</v>
      </c>
      <c r="I6" s="45"/>
      <c r="J6" s="45"/>
      <c r="K6" s="2"/>
      <c r="L6" s="4">
        <v>1</v>
      </c>
      <c r="M6" s="45" t="s">
        <v>408</v>
      </c>
      <c r="N6" s="4" t="s">
        <v>403</v>
      </c>
      <c r="O6" s="7">
        <v>210000</v>
      </c>
      <c r="P6" s="87" t="s">
        <v>406</v>
      </c>
      <c r="Q6" s="88"/>
    </row>
    <row r="7" spans="2:17" ht="30" customHeight="1" x14ac:dyDescent="0.25">
      <c r="B7" s="45"/>
      <c r="C7" s="45" t="s">
        <v>614</v>
      </c>
      <c r="D7" s="45" t="s">
        <v>660</v>
      </c>
      <c r="E7" s="60">
        <v>150000</v>
      </c>
      <c r="F7" s="69" t="s">
        <v>660</v>
      </c>
      <c r="G7" s="45" t="s">
        <v>34</v>
      </c>
      <c r="H7" s="45">
        <v>1</v>
      </c>
      <c r="I7" s="45"/>
      <c r="J7" s="45"/>
      <c r="K7" s="2"/>
      <c r="L7" s="4">
        <v>2</v>
      </c>
      <c r="M7" s="45" t="s">
        <v>423</v>
      </c>
      <c r="N7" s="45" t="s">
        <v>659</v>
      </c>
      <c r="O7" s="7">
        <v>2000000</v>
      </c>
      <c r="P7" s="87" t="s">
        <v>424</v>
      </c>
      <c r="Q7" s="88"/>
    </row>
    <row r="8" spans="2:17" ht="30" x14ac:dyDescent="0.25">
      <c r="B8" s="45"/>
      <c r="C8" s="45" t="s">
        <v>614</v>
      </c>
      <c r="D8" s="45" t="s">
        <v>661</v>
      </c>
      <c r="E8" s="60">
        <v>800000</v>
      </c>
      <c r="F8" s="69" t="s">
        <v>661</v>
      </c>
      <c r="G8" s="45" t="s">
        <v>33</v>
      </c>
      <c r="H8" s="45">
        <v>4</v>
      </c>
      <c r="I8" s="45"/>
      <c r="J8" s="45"/>
      <c r="K8" s="2"/>
    </row>
    <row r="9" spans="2:17" x14ac:dyDescent="0.25">
      <c r="B9" s="64">
        <v>2</v>
      </c>
      <c r="C9" s="64" t="s">
        <v>614</v>
      </c>
      <c r="D9" s="64" t="s">
        <v>648</v>
      </c>
      <c r="E9" s="65">
        <v>150000</v>
      </c>
      <c r="F9" s="70"/>
      <c r="G9" s="64" t="s">
        <v>34</v>
      </c>
      <c r="H9" s="64">
        <v>1</v>
      </c>
      <c r="I9" s="45"/>
      <c r="J9" s="45"/>
      <c r="K9" s="2"/>
    </row>
    <row r="10" spans="2:17" x14ac:dyDescent="0.25">
      <c r="B10" s="45">
        <v>3</v>
      </c>
      <c r="C10" s="45" t="s">
        <v>614</v>
      </c>
      <c r="D10" s="45" t="s">
        <v>647</v>
      </c>
      <c r="E10" s="60">
        <v>200000</v>
      </c>
      <c r="F10" s="69" t="s">
        <v>662</v>
      </c>
      <c r="G10" s="45" t="s">
        <v>33</v>
      </c>
      <c r="H10" s="45">
        <v>1</v>
      </c>
      <c r="I10" s="45"/>
      <c r="J10" s="45"/>
      <c r="K10" s="2"/>
    </row>
    <row r="11" spans="2:17" x14ac:dyDescent="0.25">
      <c r="B11" s="45">
        <v>4</v>
      </c>
      <c r="C11" s="45" t="s">
        <v>614</v>
      </c>
      <c r="D11" s="45" t="s">
        <v>646</v>
      </c>
      <c r="E11" s="60">
        <v>200000</v>
      </c>
      <c r="F11" s="69" t="s">
        <v>646</v>
      </c>
      <c r="G11" s="45" t="s">
        <v>33</v>
      </c>
      <c r="H11" s="45">
        <v>1</v>
      </c>
      <c r="I11" s="45"/>
      <c r="J11" s="45"/>
      <c r="K11" s="2"/>
      <c r="M11" t="s">
        <v>33</v>
      </c>
    </row>
    <row r="12" spans="2:17" x14ac:dyDescent="0.25">
      <c r="B12" s="45">
        <v>5</v>
      </c>
      <c r="C12" s="45" t="s">
        <v>614</v>
      </c>
      <c r="D12" s="45" t="s">
        <v>645</v>
      </c>
      <c r="E12" s="60">
        <v>200000</v>
      </c>
      <c r="F12" s="69" t="s">
        <v>645</v>
      </c>
      <c r="G12" s="45" t="s">
        <v>33</v>
      </c>
      <c r="H12" s="45">
        <v>1</v>
      </c>
      <c r="I12" s="45"/>
      <c r="J12" s="45"/>
      <c r="K12" s="2"/>
      <c r="M12" t="s">
        <v>798</v>
      </c>
    </row>
    <row r="13" spans="2:17" x14ac:dyDescent="0.25">
      <c r="B13" s="45">
        <v>6</v>
      </c>
      <c r="C13" s="45" t="s">
        <v>614</v>
      </c>
      <c r="D13" s="45" t="s">
        <v>644</v>
      </c>
      <c r="E13" s="60">
        <v>800000</v>
      </c>
      <c r="F13" s="71" t="s">
        <v>7</v>
      </c>
      <c r="G13" s="45" t="s">
        <v>33</v>
      </c>
      <c r="H13" s="45">
        <v>4</v>
      </c>
      <c r="I13" s="45"/>
      <c r="J13" s="45"/>
      <c r="K13" s="2"/>
      <c r="M13" t="s">
        <v>799</v>
      </c>
    </row>
    <row r="14" spans="2:17" x14ac:dyDescent="0.25">
      <c r="B14" s="45">
        <v>7</v>
      </c>
      <c r="C14" s="45" t="s">
        <v>614</v>
      </c>
      <c r="D14" s="45" t="s">
        <v>643</v>
      </c>
      <c r="E14" s="60">
        <v>400000</v>
      </c>
      <c r="F14" s="71" t="s">
        <v>6</v>
      </c>
      <c r="G14" s="45" t="s">
        <v>33</v>
      </c>
      <c r="H14" s="45">
        <v>2</v>
      </c>
      <c r="I14" s="45"/>
      <c r="J14" s="45"/>
      <c r="K14" s="2"/>
      <c r="M14" t="s">
        <v>800</v>
      </c>
    </row>
    <row r="15" spans="2:17" x14ac:dyDescent="0.25">
      <c r="B15" s="45">
        <v>8</v>
      </c>
      <c r="C15" s="45" t="s">
        <v>614</v>
      </c>
      <c r="D15" s="45" t="s">
        <v>9</v>
      </c>
      <c r="E15" s="60">
        <v>200000</v>
      </c>
      <c r="F15" s="71" t="s">
        <v>9</v>
      </c>
      <c r="G15" s="45" t="s">
        <v>33</v>
      </c>
      <c r="H15" s="45">
        <v>1</v>
      </c>
      <c r="I15" s="45"/>
      <c r="J15" s="45"/>
      <c r="K15" s="2"/>
      <c r="M15" t="s">
        <v>801</v>
      </c>
    </row>
    <row r="16" spans="2:17" x14ac:dyDescent="0.25">
      <c r="B16" s="45">
        <v>9</v>
      </c>
      <c r="C16" s="45" t="s">
        <v>614</v>
      </c>
      <c r="D16" s="45" t="s">
        <v>642</v>
      </c>
      <c r="E16" s="60">
        <v>200000</v>
      </c>
      <c r="F16" s="71" t="s">
        <v>13</v>
      </c>
      <c r="G16" s="45" t="s">
        <v>33</v>
      </c>
      <c r="H16" s="45"/>
      <c r="I16" s="45"/>
      <c r="J16" s="45"/>
      <c r="K16" s="2"/>
      <c r="M16" t="s">
        <v>802</v>
      </c>
    </row>
    <row r="17" spans="2:13" x14ac:dyDescent="0.25">
      <c r="B17" s="45">
        <v>10</v>
      </c>
      <c r="C17" s="45" t="s">
        <v>614</v>
      </c>
      <c r="D17" s="45" t="s">
        <v>641</v>
      </c>
      <c r="E17" s="60">
        <v>800000</v>
      </c>
      <c r="F17" s="71" t="s">
        <v>12</v>
      </c>
      <c r="G17" s="45" t="s">
        <v>33</v>
      </c>
      <c r="H17" s="45">
        <v>4</v>
      </c>
      <c r="I17" s="45"/>
      <c r="J17" s="45"/>
      <c r="K17" s="2"/>
      <c r="M17" t="s">
        <v>803</v>
      </c>
    </row>
    <row r="18" spans="2:13" ht="38.25" x14ac:dyDescent="0.25">
      <c r="B18" s="45">
        <v>11</v>
      </c>
      <c r="C18" s="45" t="s">
        <v>614</v>
      </c>
      <c r="D18" s="45" t="s">
        <v>640</v>
      </c>
      <c r="E18" s="60">
        <v>1200000</v>
      </c>
      <c r="F18" s="71" t="s">
        <v>14</v>
      </c>
      <c r="G18" s="45" t="s">
        <v>33</v>
      </c>
      <c r="H18" s="45">
        <v>6</v>
      </c>
      <c r="I18" s="45"/>
      <c r="J18" s="45"/>
      <c r="K18" s="2"/>
      <c r="M18" t="s">
        <v>804</v>
      </c>
    </row>
    <row r="19" spans="2:13" x14ac:dyDescent="0.25">
      <c r="B19" s="45">
        <v>12</v>
      </c>
      <c r="C19" s="45" t="s">
        <v>614</v>
      </c>
      <c r="D19" s="45" t="s">
        <v>639</v>
      </c>
      <c r="E19" s="60">
        <v>220000</v>
      </c>
      <c r="F19" s="71" t="s">
        <v>19</v>
      </c>
      <c r="G19" s="45" t="s">
        <v>35</v>
      </c>
      <c r="H19" s="45">
        <v>2</v>
      </c>
      <c r="I19" s="45"/>
      <c r="J19" s="45"/>
      <c r="K19" s="2"/>
      <c r="M19" t="s">
        <v>805</v>
      </c>
    </row>
    <row r="20" spans="2:13" x14ac:dyDescent="0.25">
      <c r="B20" s="45">
        <v>13</v>
      </c>
      <c r="C20" s="45" t="s">
        <v>614</v>
      </c>
      <c r="D20" s="45" t="s">
        <v>638</v>
      </c>
      <c r="E20" s="60">
        <v>110000</v>
      </c>
      <c r="F20" s="71" t="s">
        <v>15</v>
      </c>
      <c r="G20" s="45" t="s">
        <v>35</v>
      </c>
      <c r="H20" s="45">
        <v>1</v>
      </c>
      <c r="I20" s="45"/>
      <c r="J20" s="45"/>
      <c r="K20" s="2"/>
      <c r="M20" t="s">
        <v>806</v>
      </c>
    </row>
    <row r="21" spans="2:13" x14ac:dyDescent="0.25">
      <c r="B21" s="45">
        <v>14</v>
      </c>
      <c r="C21" s="45" t="s">
        <v>614</v>
      </c>
      <c r="D21" s="45" t="s">
        <v>637</v>
      </c>
      <c r="E21" s="60">
        <v>110000</v>
      </c>
      <c r="F21" s="71" t="s">
        <v>16</v>
      </c>
      <c r="G21" s="45" t="s">
        <v>35</v>
      </c>
      <c r="H21" s="45">
        <v>1</v>
      </c>
      <c r="I21" s="45"/>
      <c r="J21" s="45"/>
      <c r="K21" s="2"/>
      <c r="M21" t="s">
        <v>807</v>
      </c>
    </row>
    <row r="22" spans="2:13" ht="38.25" x14ac:dyDescent="0.25">
      <c r="B22" s="45">
        <v>15</v>
      </c>
      <c r="C22" s="45" t="s">
        <v>614</v>
      </c>
      <c r="D22" s="45" t="s">
        <v>636</v>
      </c>
      <c r="E22" s="60">
        <v>200000</v>
      </c>
      <c r="F22" s="71" t="s">
        <v>18</v>
      </c>
      <c r="G22" s="45" t="s">
        <v>33</v>
      </c>
      <c r="H22" s="45">
        <v>1</v>
      </c>
      <c r="I22" s="45"/>
      <c r="J22" s="45"/>
      <c r="K22" s="2"/>
    </row>
    <row r="23" spans="2:13" x14ac:dyDescent="0.25">
      <c r="B23" s="45">
        <v>16</v>
      </c>
      <c r="C23" s="45" t="s">
        <v>614</v>
      </c>
      <c r="D23" s="45" t="s">
        <v>635</v>
      </c>
      <c r="E23" s="60">
        <v>440000</v>
      </c>
      <c r="F23" s="71" t="s">
        <v>17</v>
      </c>
      <c r="G23" s="45" t="s">
        <v>35</v>
      </c>
      <c r="H23" s="45">
        <v>4</v>
      </c>
      <c r="I23" s="45"/>
      <c r="J23" s="45"/>
      <c r="K23" s="2"/>
    </row>
    <row r="24" spans="2:13" ht="30" x14ac:dyDescent="0.25">
      <c r="B24" s="45">
        <v>17</v>
      </c>
      <c r="C24" s="45" t="s">
        <v>614</v>
      </c>
      <c r="D24" s="45" t="s">
        <v>499</v>
      </c>
      <c r="E24" s="60">
        <v>300000</v>
      </c>
      <c r="F24" s="71" t="s">
        <v>141</v>
      </c>
      <c r="G24" s="45" t="s">
        <v>34</v>
      </c>
      <c r="H24" s="45">
        <v>2</v>
      </c>
      <c r="I24" s="45" t="s">
        <v>684</v>
      </c>
      <c r="J24" s="45"/>
      <c r="K24" s="2"/>
    </row>
    <row r="25" spans="2:13" ht="25.5" x14ac:dyDescent="0.25">
      <c r="B25" s="45">
        <v>18</v>
      </c>
      <c r="C25" s="45" t="s">
        <v>614</v>
      </c>
      <c r="D25" s="45" t="s">
        <v>634</v>
      </c>
      <c r="E25" s="60">
        <v>150000</v>
      </c>
      <c r="F25" s="71" t="s">
        <v>139</v>
      </c>
      <c r="G25" s="45" t="s">
        <v>34</v>
      </c>
      <c r="H25" s="45">
        <v>1</v>
      </c>
      <c r="I25" s="45"/>
      <c r="J25" s="45"/>
      <c r="K25" s="2"/>
    </row>
    <row r="26" spans="2:13" x14ac:dyDescent="0.25">
      <c r="B26" s="45">
        <v>19</v>
      </c>
      <c r="C26" s="45" t="s">
        <v>614</v>
      </c>
      <c r="D26" s="45" t="s">
        <v>633</v>
      </c>
      <c r="E26" s="60">
        <v>150000</v>
      </c>
      <c r="F26" s="71" t="s">
        <v>138</v>
      </c>
      <c r="G26" s="45" t="s">
        <v>34</v>
      </c>
      <c r="H26" s="45">
        <v>1</v>
      </c>
      <c r="I26" s="45"/>
      <c r="J26" s="45"/>
      <c r="K26" s="2"/>
    </row>
    <row r="27" spans="2:13" x14ac:dyDescent="0.25">
      <c r="B27" s="45">
        <v>20</v>
      </c>
      <c r="C27" s="45" t="s">
        <v>614</v>
      </c>
      <c r="D27" s="45" t="s">
        <v>632</v>
      </c>
      <c r="E27" s="60">
        <v>300000</v>
      </c>
      <c r="F27" s="71" t="s">
        <v>20</v>
      </c>
      <c r="G27" s="45" t="s">
        <v>34</v>
      </c>
      <c r="H27" s="45">
        <v>2</v>
      </c>
      <c r="I27" s="45"/>
      <c r="J27" s="45"/>
      <c r="K27" s="2"/>
    </row>
    <row r="28" spans="2:13" x14ac:dyDescent="0.25">
      <c r="B28" s="45">
        <v>21</v>
      </c>
      <c r="C28" s="45" t="s">
        <v>614</v>
      </c>
      <c r="D28" s="45" t="s">
        <v>663</v>
      </c>
      <c r="E28" s="60">
        <v>200000</v>
      </c>
      <c r="F28" s="71" t="s">
        <v>21</v>
      </c>
      <c r="G28" s="45" t="s">
        <v>33</v>
      </c>
      <c r="H28" s="45">
        <v>1</v>
      </c>
      <c r="I28" s="45"/>
      <c r="J28" s="45"/>
      <c r="K28" s="2"/>
    </row>
    <row r="29" spans="2:13" x14ac:dyDescent="0.25">
      <c r="B29" s="45">
        <v>22</v>
      </c>
      <c r="C29" s="45" t="s">
        <v>614</v>
      </c>
      <c r="D29" s="45" t="s">
        <v>610</v>
      </c>
      <c r="E29" s="60">
        <v>600000</v>
      </c>
      <c r="F29" s="71" t="s">
        <v>22</v>
      </c>
      <c r="G29" s="45" t="s">
        <v>33</v>
      </c>
      <c r="H29" s="45">
        <v>3</v>
      </c>
      <c r="I29" s="45"/>
      <c r="J29" s="45"/>
      <c r="K29" s="2"/>
    </row>
    <row r="30" spans="2:13" x14ac:dyDescent="0.25">
      <c r="B30" s="64"/>
      <c r="C30" s="64" t="s">
        <v>614</v>
      </c>
      <c r="D30" s="64" t="s">
        <v>664</v>
      </c>
      <c r="E30" s="65">
        <v>110000</v>
      </c>
      <c r="F30" s="70" t="s">
        <v>773</v>
      </c>
      <c r="G30" s="64" t="s">
        <v>35</v>
      </c>
      <c r="H30" s="64">
        <v>1</v>
      </c>
      <c r="I30" s="64"/>
      <c r="J30" s="45"/>
      <c r="K30" s="2"/>
    </row>
    <row r="31" spans="2:13" ht="25.5" x14ac:dyDescent="0.25">
      <c r="B31" s="45"/>
      <c r="C31" s="45" t="s">
        <v>614</v>
      </c>
      <c r="D31" s="45" t="s">
        <v>665</v>
      </c>
      <c r="E31" s="24">
        <v>400000</v>
      </c>
      <c r="F31" s="71" t="s">
        <v>24</v>
      </c>
      <c r="G31" s="45" t="s">
        <v>33</v>
      </c>
      <c r="H31" s="45">
        <v>2</v>
      </c>
      <c r="I31" s="45"/>
      <c r="J31" s="45"/>
      <c r="K31" s="2"/>
    </row>
    <row r="32" spans="2:13" x14ac:dyDescent="0.25">
      <c r="B32" s="45">
        <v>24</v>
      </c>
      <c r="C32" s="45" t="s">
        <v>614</v>
      </c>
      <c r="D32" s="45" t="s">
        <v>631</v>
      </c>
      <c r="E32" s="60">
        <v>200000</v>
      </c>
      <c r="F32" s="69" t="s">
        <v>666</v>
      </c>
      <c r="G32" s="45" t="s">
        <v>33</v>
      </c>
      <c r="H32" s="45">
        <v>1</v>
      </c>
      <c r="I32" s="45"/>
      <c r="J32" s="45"/>
      <c r="K32" s="2"/>
    </row>
    <row r="33" spans="2:11" x14ac:dyDescent="0.25">
      <c r="B33" s="45">
        <v>25</v>
      </c>
      <c r="C33" s="45" t="s">
        <v>614</v>
      </c>
      <c r="D33" s="45" t="s">
        <v>630</v>
      </c>
      <c r="E33" s="60">
        <v>300000</v>
      </c>
      <c r="F33" s="71" t="s">
        <v>25</v>
      </c>
      <c r="G33" s="45" t="s">
        <v>34</v>
      </c>
      <c r="H33" s="45">
        <v>2</v>
      </c>
      <c r="I33" s="45"/>
      <c r="J33" s="45"/>
      <c r="K33" s="2"/>
    </row>
    <row r="34" spans="2:11" x14ac:dyDescent="0.25">
      <c r="B34" s="45">
        <v>26</v>
      </c>
      <c r="C34" s="45" t="s">
        <v>614</v>
      </c>
      <c r="D34" s="45" t="s">
        <v>629</v>
      </c>
      <c r="E34" s="60">
        <v>150000</v>
      </c>
      <c r="F34" s="71" t="s">
        <v>26</v>
      </c>
      <c r="G34" s="45" t="s">
        <v>34</v>
      </c>
      <c r="H34" s="45">
        <v>1</v>
      </c>
      <c r="I34" s="45"/>
      <c r="J34" s="45"/>
      <c r="K34" s="2"/>
    </row>
    <row r="35" spans="2:11" x14ac:dyDescent="0.25">
      <c r="B35" s="45">
        <v>27</v>
      </c>
      <c r="C35" s="45" t="s">
        <v>614</v>
      </c>
      <c r="D35" s="45" t="s">
        <v>628</v>
      </c>
      <c r="E35" s="60">
        <v>200000</v>
      </c>
      <c r="F35" s="71" t="s">
        <v>27</v>
      </c>
      <c r="G35" s="45" t="s">
        <v>33</v>
      </c>
      <c r="H35" s="45">
        <v>1</v>
      </c>
      <c r="I35" s="45"/>
      <c r="J35" s="45"/>
      <c r="K35" s="2"/>
    </row>
    <row r="36" spans="2:11" x14ac:dyDescent="0.25">
      <c r="B36" s="45">
        <v>28</v>
      </c>
      <c r="C36" s="45" t="s">
        <v>614</v>
      </c>
      <c r="D36" s="45" t="s">
        <v>627</v>
      </c>
      <c r="E36" s="60">
        <v>150000</v>
      </c>
      <c r="F36" s="71" t="s">
        <v>86</v>
      </c>
      <c r="G36" s="45" t="s">
        <v>34</v>
      </c>
      <c r="H36" s="45">
        <v>1</v>
      </c>
      <c r="I36" s="45"/>
      <c r="J36" s="45"/>
      <c r="K36" s="2"/>
    </row>
    <row r="37" spans="2:11" x14ac:dyDescent="0.25">
      <c r="B37" s="45">
        <v>29</v>
      </c>
      <c r="C37" s="45" t="s">
        <v>614</v>
      </c>
      <c r="D37" s="45" t="s">
        <v>583</v>
      </c>
      <c r="E37" s="60">
        <v>300000</v>
      </c>
      <c r="F37" s="69" t="s">
        <v>667</v>
      </c>
      <c r="G37" s="45" t="s">
        <v>34</v>
      </c>
      <c r="H37" s="45">
        <v>2</v>
      </c>
      <c r="I37" s="45"/>
      <c r="J37" s="45"/>
      <c r="K37" s="2"/>
    </row>
    <row r="38" spans="2:11" x14ac:dyDescent="0.25">
      <c r="B38" s="45">
        <v>30</v>
      </c>
      <c r="C38" s="45" t="s">
        <v>614</v>
      </c>
      <c r="D38" s="45" t="s">
        <v>626</v>
      </c>
      <c r="E38" s="60">
        <v>400000</v>
      </c>
      <c r="F38" s="71" t="s">
        <v>29</v>
      </c>
      <c r="G38" s="45" t="s">
        <v>33</v>
      </c>
      <c r="H38" s="45">
        <v>2</v>
      </c>
      <c r="I38" s="45"/>
      <c r="J38" s="45"/>
      <c r="K38" s="2"/>
    </row>
    <row r="39" spans="2:11" x14ac:dyDescent="0.25">
      <c r="B39" s="45">
        <v>31</v>
      </c>
      <c r="C39" s="45" t="s">
        <v>614</v>
      </c>
      <c r="D39" s="45" t="s">
        <v>625</v>
      </c>
      <c r="E39" s="60">
        <v>400000</v>
      </c>
      <c r="F39" s="71" t="s">
        <v>30</v>
      </c>
      <c r="G39" s="45" t="s">
        <v>33</v>
      </c>
      <c r="H39" s="45">
        <v>2</v>
      </c>
      <c r="I39" s="45"/>
      <c r="J39" s="45"/>
      <c r="K39" s="2"/>
    </row>
    <row r="40" spans="2:11" x14ac:dyDescent="0.25">
      <c r="B40" s="45">
        <v>32</v>
      </c>
      <c r="C40" s="45" t="s">
        <v>614</v>
      </c>
      <c r="D40" s="45" t="s">
        <v>624</v>
      </c>
      <c r="E40" s="60">
        <v>200000</v>
      </c>
      <c r="F40" s="71" t="s">
        <v>88</v>
      </c>
      <c r="G40" s="45" t="s">
        <v>33</v>
      </c>
      <c r="H40" s="45">
        <v>1</v>
      </c>
      <c r="I40" s="45"/>
      <c r="J40" s="45"/>
      <c r="K40" s="2"/>
    </row>
    <row r="41" spans="2:11" x14ac:dyDescent="0.25">
      <c r="B41" s="45">
        <v>33</v>
      </c>
      <c r="C41" s="45" t="s">
        <v>614</v>
      </c>
      <c r="D41" s="45" t="s">
        <v>87</v>
      </c>
      <c r="E41" s="60">
        <v>110000</v>
      </c>
      <c r="F41" s="69" t="s">
        <v>87</v>
      </c>
      <c r="G41" s="45" t="s">
        <v>35</v>
      </c>
      <c r="H41" s="45">
        <v>1</v>
      </c>
      <c r="I41" s="45"/>
      <c r="J41" s="45"/>
      <c r="K41" s="2"/>
    </row>
    <row r="42" spans="2:11" x14ac:dyDescent="0.25">
      <c r="B42" s="64">
        <v>34</v>
      </c>
      <c r="C42" s="64" t="s">
        <v>614</v>
      </c>
      <c r="D42" s="64" t="s">
        <v>623</v>
      </c>
      <c r="E42" s="65">
        <v>300000</v>
      </c>
      <c r="F42" s="70"/>
      <c r="G42" s="64" t="s">
        <v>34</v>
      </c>
      <c r="H42" s="64">
        <v>2</v>
      </c>
      <c r="I42" s="64"/>
      <c r="J42" s="45"/>
      <c r="K42" s="2"/>
    </row>
    <row r="43" spans="2:11" x14ac:dyDescent="0.25">
      <c r="B43" s="45">
        <v>35</v>
      </c>
      <c r="C43" s="45" t="s">
        <v>614</v>
      </c>
      <c r="D43" s="45" t="s">
        <v>622</v>
      </c>
      <c r="E43" s="60">
        <v>400000</v>
      </c>
      <c r="F43" s="71" t="s">
        <v>31</v>
      </c>
      <c r="G43" s="45" t="s">
        <v>33</v>
      </c>
      <c r="H43" s="45">
        <v>2</v>
      </c>
      <c r="I43" s="45"/>
      <c r="J43" s="45"/>
      <c r="K43" s="2"/>
    </row>
    <row r="44" spans="2:11" x14ac:dyDescent="0.25">
      <c r="B44" s="45">
        <v>36</v>
      </c>
      <c r="C44" s="45" t="s">
        <v>614</v>
      </c>
      <c r="D44" s="45" t="s">
        <v>621</v>
      </c>
      <c r="E44" s="60">
        <v>200000</v>
      </c>
      <c r="F44" s="71" t="s">
        <v>36</v>
      </c>
      <c r="G44" s="45" t="s">
        <v>33</v>
      </c>
      <c r="H44" s="45">
        <v>1</v>
      </c>
      <c r="I44" s="45"/>
      <c r="J44" s="45"/>
      <c r="K44" s="2"/>
    </row>
    <row r="45" spans="2:11" x14ac:dyDescent="0.25">
      <c r="B45" s="45">
        <v>37</v>
      </c>
      <c r="C45" s="45" t="s">
        <v>614</v>
      </c>
      <c r="D45" s="45" t="s">
        <v>620</v>
      </c>
      <c r="E45" s="60">
        <v>200000</v>
      </c>
      <c r="F45" s="71" t="s">
        <v>37</v>
      </c>
      <c r="G45" s="45" t="s">
        <v>33</v>
      </c>
      <c r="H45" s="45">
        <v>1</v>
      </c>
      <c r="I45" s="45"/>
      <c r="J45" s="45"/>
      <c r="K45" s="2"/>
    </row>
    <row r="46" spans="2:11" x14ac:dyDescent="0.25">
      <c r="B46" s="45">
        <v>38</v>
      </c>
      <c r="C46" s="45" t="s">
        <v>614</v>
      </c>
      <c r="D46" s="45" t="s">
        <v>619</v>
      </c>
      <c r="E46" s="60">
        <v>200000</v>
      </c>
      <c r="F46" s="71" t="s">
        <v>38</v>
      </c>
      <c r="G46" s="45" t="s">
        <v>33</v>
      </c>
      <c r="H46" s="45">
        <v>1</v>
      </c>
      <c r="I46" s="45"/>
      <c r="J46" s="45"/>
      <c r="K46" s="2"/>
    </row>
    <row r="47" spans="2:11" x14ac:dyDescent="0.25">
      <c r="B47" s="64">
        <v>39</v>
      </c>
      <c r="C47" s="64" t="s">
        <v>614</v>
      </c>
      <c r="D47" s="64" t="s">
        <v>618</v>
      </c>
      <c r="E47" s="65">
        <v>110000</v>
      </c>
      <c r="F47" s="70" t="s">
        <v>618</v>
      </c>
      <c r="G47" s="64" t="s">
        <v>35</v>
      </c>
      <c r="H47" s="64">
        <v>1</v>
      </c>
      <c r="I47" s="64"/>
      <c r="J47" s="45"/>
      <c r="K47" s="2"/>
    </row>
    <row r="48" spans="2:11" ht="25.5" x14ac:dyDescent="0.25">
      <c r="B48" s="45">
        <v>40</v>
      </c>
      <c r="C48" s="45" t="s">
        <v>614</v>
      </c>
      <c r="D48" s="45" t="s">
        <v>583</v>
      </c>
      <c r="E48" s="60">
        <v>150000</v>
      </c>
      <c r="F48" s="71" t="s">
        <v>39</v>
      </c>
      <c r="G48" s="45" t="s">
        <v>34</v>
      </c>
      <c r="H48" s="45">
        <v>1</v>
      </c>
      <c r="I48" s="45"/>
      <c r="J48" s="45"/>
      <c r="K48" s="2"/>
    </row>
    <row r="49" spans="2:11" x14ac:dyDescent="0.25">
      <c r="B49" s="45">
        <v>41</v>
      </c>
      <c r="C49" s="45" t="s">
        <v>614</v>
      </c>
      <c r="D49" s="45" t="s">
        <v>617</v>
      </c>
      <c r="E49" s="60">
        <v>400000</v>
      </c>
      <c r="F49" s="71" t="s">
        <v>40</v>
      </c>
      <c r="G49" s="45" t="s">
        <v>33</v>
      </c>
      <c r="H49" s="45">
        <v>2</v>
      </c>
      <c r="I49" s="45"/>
      <c r="J49" s="45"/>
      <c r="K49" s="2"/>
    </row>
    <row r="50" spans="2:11" ht="60" x14ac:dyDescent="0.25">
      <c r="B50" s="45">
        <v>42</v>
      </c>
      <c r="C50" s="45" t="s">
        <v>614</v>
      </c>
      <c r="D50" s="45" t="s">
        <v>603</v>
      </c>
      <c r="E50" s="60">
        <v>150000</v>
      </c>
      <c r="F50" s="71" t="s">
        <v>41</v>
      </c>
      <c r="G50" s="45" t="s">
        <v>34</v>
      </c>
      <c r="H50" s="45">
        <v>1</v>
      </c>
      <c r="I50" s="45"/>
      <c r="J50" s="45" t="s">
        <v>616</v>
      </c>
      <c r="K50" s="2"/>
    </row>
    <row r="51" spans="2:11" x14ac:dyDescent="0.25">
      <c r="B51" s="45">
        <v>43</v>
      </c>
      <c r="C51" s="45" t="s">
        <v>614</v>
      </c>
      <c r="D51" s="45" t="s">
        <v>615</v>
      </c>
      <c r="E51" s="60">
        <v>200000</v>
      </c>
      <c r="F51" s="71" t="s">
        <v>42</v>
      </c>
      <c r="G51" s="45" t="s">
        <v>33</v>
      </c>
      <c r="H51" s="45">
        <v>1</v>
      </c>
      <c r="I51" s="45"/>
      <c r="J51" s="45"/>
      <c r="K51" s="2"/>
    </row>
    <row r="52" spans="2:11" x14ac:dyDescent="0.25">
      <c r="B52" s="45">
        <v>44</v>
      </c>
      <c r="C52" s="45" t="s">
        <v>563</v>
      </c>
      <c r="D52" s="45" t="s">
        <v>613</v>
      </c>
      <c r="E52" s="60">
        <v>200000</v>
      </c>
      <c r="F52" s="72" t="s">
        <v>43</v>
      </c>
      <c r="G52" s="45" t="s">
        <v>33</v>
      </c>
      <c r="H52" s="45">
        <v>1</v>
      </c>
      <c r="I52" s="45"/>
      <c r="J52" s="45"/>
      <c r="K52" s="2"/>
    </row>
    <row r="53" spans="2:11" x14ac:dyDescent="0.25">
      <c r="B53" s="45">
        <v>45</v>
      </c>
      <c r="C53" s="45" t="s">
        <v>563</v>
      </c>
      <c r="D53" s="45" t="s">
        <v>612</v>
      </c>
      <c r="E53" s="60">
        <v>200000</v>
      </c>
      <c r="F53" s="73" t="s">
        <v>44</v>
      </c>
      <c r="G53" s="45" t="s">
        <v>33</v>
      </c>
      <c r="H53" s="45">
        <v>1</v>
      </c>
      <c r="I53" s="45"/>
      <c r="J53" s="45"/>
      <c r="K53" s="2"/>
    </row>
    <row r="54" spans="2:11" x14ac:dyDescent="0.25">
      <c r="B54" s="45">
        <v>46</v>
      </c>
      <c r="C54" s="45" t="s">
        <v>563</v>
      </c>
      <c r="D54" s="45" t="s">
        <v>611</v>
      </c>
      <c r="E54" s="60">
        <v>400000</v>
      </c>
      <c r="F54" s="72" t="s">
        <v>45</v>
      </c>
      <c r="G54" s="45" t="s">
        <v>33</v>
      </c>
      <c r="H54" s="45">
        <v>2</v>
      </c>
      <c r="I54" s="45"/>
      <c r="J54" s="45"/>
      <c r="K54" s="2"/>
    </row>
    <row r="55" spans="2:11" x14ac:dyDescent="0.25">
      <c r="B55" s="45">
        <v>47</v>
      </c>
      <c r="C55" s="45" t="s">
        <v>563</v>
      </c>
      <c r="D55" s="45" t="s">
        <v>610</v>
      </c>
      <c r="E55" s="60">
        <v>200000</v>
      </c>
      <c r="F55" s="73" t="s">
        <v>46</v>
      </c>
      <c r="G55" s="45" t="s">
        <v>33</v>
      </c>
      <c r="H55" s="45">
        <v>1</v>
      </c>
      <c r="I55" s="45"/>
      <c r="J55" s="45"/>
      <c r="K55" s="2"/>
    </row>
    <row r="56" spans="2:11" x14ac:dyDescent="0.25">
      <c r="B56" s="45">
        <v>48</v>
      </c>
      <c r="C56" s="45" t="s">
        <v>563</v>
      </c>
      <c r="D56" s="45" t="s">
        <v>609</v>
      </c>
      <c r="E56" s="60">
        <v>300000</v>
      </c>
      <c r="F56" s="72" t="s">
        <v>47</v>
      </c>
      <c r="G56" s="45" t="s">
        <v>34</v>
      </c>
      <c r="H56" s="45">
        <v>2</v>
      </c>
      <c r="I56" s="45"/>
      <c r="J56" s="45"/>
      <c r="K56" s="2"/>
    </row>
    <row r="57" spans="2:11" x14ac:dyDescent="0.25">
      <c r="B57" s="45">
        <v>49</v>
      </c>
      <c r="C57" s="45" t="s">
        <v>563</v>
      </c>
      <c r="D57" s="45" t="s">
        <v>608</v>
      </c>
      <c r="E57" s="60">
        <v>400000</v>
      </c>
      <c r="F57" s="73" t="s">
        <v>48</v>
      </c>
      <c r="G57" s="45" t="s">
        <v>33</v>
      </c>
      <c r="H57" s="45">
        <v>2</v>
      </c>
      <c r="I57" s="45"/>
      <c r="J57" s="45"/>
      <c r="K57" s="2"/>
    </row>
    <row r="58" spans="2:11" x14ac:dyDescent="0.25">
      <c r="B58" s="45">
        <v>50</v>
      </c>
      <c r="C58" s="45" t="s">
        <v>563</v>
      </c>
      <c r="D58" s="45" t="s">
        <v>607</v>
      </c>
      <c r="E58" s="60">
        <v>200000</v>
      </c>
      <c r="F58" s="73" t="s">
        <v>50</v>
      </c>
      <c r="G58" s="45" t="s">
        <v>33</v>
      </c>
      <c r="H58" s="45">
        <v>1</v>
      </c>
      <c r="I58" s="45"/>
      <c r="J58" s="45"/>
      <c r="K58" s="2"/>
    </row>
    <row r="59" spans="2:11" ht="38.25" x14ac:dyDescent="0.25">
      <c r="B59" s="45">
        <v>51</v>
      </c>
      <c r="C59" s="45" t="s">
        <v>563</v>
      </c>
      <c r="D59" s="45" t="s">
        <v>606</v>
      </c>
      <c r="E59" s="60">
        <v>200000</v>
      </c>
      <c r="F59" s="72" t="s">
        <v>49</v>
      </c>
      <c r="G59" s="45" t="s">
        <v>33</v>
      </c>
      <c r="H59" s="45">
        <v>1</v>
      </c>
      <c r="I59" s="45"/>
      <c r="J59" s="45"/>
      <c r="K59" s="2"/>
    </row>
    <row r="60" spans="2:11" x14ac:dyDescent="0.25">
      <c r="B60" s="45">
        <v>52</v>
      </c>
      <c r="C60" s="45" t="s">
        <v>563</v>
      </c>
      <c r="D60" s="45" t="s">
        <v>605</v>
      </c>
      <c r="E60" s="60">
        <v>200000</v>
      </c>
      <c r="F60" s="72" t="s">
        <v>51</v>
      </c>
      <c r="G60" s="45" t="s">
        <v>33</v>
      </c>
      <c r="H60" s="45">
        <v>1</v>
      </c>
      <c r="I60" s="45"/>
      <c r="J60" s="45"/>
      <c r="K60" s="2"/>
    </row>
    <row r="61" spans="2:11" x14ac:dyDescent="0.25">
      <c r="B61" s="45">
        <v>53</v>
      </c>
      <c r="C61" s="45" t="s">
        <v>563</v>
      </c>
      <c r="D61" s="45" t="s">
        <v>604</v>
      </c>
      <c r="E61" s="60">
        <v>200000</v>
      </c>
      <c r="F61" s="73" t="s">
        <v>52</v>
      </c>
      <c r="G61" s="45" t="s">
        <v>33</v>
      </c>
      <c r="H61" s="45">
        <v>1</v>
      </c>
      <c r="I61" s="45"/>
      <c r="J61" s="45"/>
      <c r="K61" s="2"/>
    </row>
    <row r="62" spans="2:11" x14ac:dyDescent="0.25">
      <c r="B62" s="45">
        <v>54</v>
      </c>
      <c r="C62" s="45" t="s">
        <v>563</v>
      </c>
      <c r="D62" s="45" t="s">
        <v>602</v>
      </c>
      <c r="E62" s="60">
        <v>200000</v>
      </c>
      <c r="F62" s="72" t="s">
        <v>53</v>
      </c>
      <c r="G62" s="45" t="s">
        <v>33</v>
      </c>
      <c r="H62" s="45">
        <v>1</v>
      </c>
      <c r="I62" s="45"/>
      <c r="J62" s="45"/>
      <c r="K62" s="2"/>
    </row>
    <row r="63" spans="2:11" x14ac:dyDescent="0.25">
      <c r="B63" s="45">
        <v>55</v>
      </c>
      <c r="C63" s="45" t="s">
        <v>563</v>
      </c>
      <c r="D63" s="45" t="s">
        <v>601</v>
      </c>
      <c r="E63" s="60">
        <v>200000</v>
      </c>
      <c r="F63" s="73" t="s">
        <v>54</v>
      </c>
      <c r="G63" s="45" t="s">
        <v>33</v>
      </c>
      <c r="H63" s="45">
        <v>1</v>
      </c>
      <c r="I63" s="45"/>
      <c r="J63" s="45"/>
      <c r="K63" s="2"/>
    </row>
    <row r="64" spans="2:11" x14ac:dyDescent="0.25">
      <c r="B64" s="45">
        <v>56</v>
      </c>
      <c r="C64" s="45" t="s">
        <v>563</v>
      </c>
      <c r="D64" s="45" t="s">
        <v>600</v>
      </c>
      <c r="E64" s="60">
        <v>200000</v>
      </c>
      <c r="F64" s="72" t="s">
        <v>55</v>
      </c>
      <c r="G64" s="45" t="s">
        <v>33</v>
      </c>
      <c r="H64" s="45">
        <v>1</v>
      </c>
      <c r="I64" s="45"/>
      <c r="J64" s="45"/>
      <c r="K64" s="2"/>
    </row>
    <row r="65" spans="2:11" x14ac:dyDescent="0.25">
      <c r="B65" s="45">
        <v>57</v>
      </c>
      <c r="C65" s="45" t="s">
        <v>563</v>
      </c>
      <c r="D65" s="45" t="s">
        <v>599</v>
      </c>
      <c r="E65" s="60">
        <v>200000</v>
      </c>
      <c r="F65" s="73" t="s">
        <v>56</v>
      </c>
      <c r="G65" s="45" t="s">
        <v>33</v>
      </c>
      <c r="H65" s="45">
        <v>1</v>
      </c>
      <c r="I65" s="45"/>
      <c r="J65" s="45"/>
      <c r="K65" s="2"/>
    </row>
    <row r="66" spans="2:11" x14ac:dyDescent="0.25">
      <c r="B66" s="45">
        <v>58</v>
      </c>
      <c r="C66" s="45" t="s">
        <v>563</v>
      </c>
      <c r="D66" s="45" t="s">
        <v>598</v>
      </c>
      <c r="E66" s="60">
        <v>400000</v>
      </c>
      <c r="F66" s="69" t="s">
        <v>668</v>
      </c>
      <c r="G66" s="45" t="s">
        <v>33</v>
      </c>
      <c r="H66" s="45">
        <v>2</v>
      </c>
      <c r="I66" s="45"/>
      <c r="J66" s="45"/>
      <c r="K66" s="2"/>
    </row>
    <row r="67" spans="2:11" x14ac:dyDescent="0.25">
      <c r="B67" s="45">
        <v>59</v>
      </c>
      <c r="C67" s="45" t="s">
        <v>563</v>
      </c>
      <c r="D67" s="45" t="s">
        <v>597</v>
      </c>
      <c r="E67" s="60">
        <v>200000</v>
      </c>
      <c r="F67" s="73" t="s">
        <v>58</v>
      </c>
      <c r="G67" s="45" t="s">
        <v>33</v>
      </c>
      <c r="H67" s="45">
        <v>1</v>
      </c>
      <c r="I67" s="45"/>
      <c r="J67" s="45"/>
      <c r="K67" s="2"/>
    </row>
    <row r="68" spans="2:11" ht="25.5" x14ac:dyDescent="0.25">
      <c r="B68" s="45">
        <v>60</v>
      </c>
      <c r="C68" s="45" t="s">
        <v>563</v>
      </c>
      <c r="D68" s="45" t="s">
        <v>596</v>
      </c>
      <c r="E68" s="60">
        <v>200000</v>
      </c>
      <c r="F68" s="71" t="s">
        <v>59</v>
      </c>
      <c r="G68" s="45" t="s">
        <v>33</v>
      </c>
      <c r="H68" s="45">
        <v>1</v>
      </c>
      <c r="I68" s="45"/>
      <c r="J68" s="45"/>
      <c r="K68" s="2"/>
    </row>
    <row r="69" spans="2:11" x14ac:dyDescent="0.25">
      <c r="B69" s="45">
        <v>61</v>
      </c>
      <c r="C69" s="45" t="s">
        <v>563</v>
      </c>
      <c r="D69" s="45" t="s">
        <v>595</v>
      </c>
      <c r="E69" s="60">
        <v>800000</v>
      </c>
      <c r="F69" s="72" t="s">
        <v>60</v>
      </c>
      <c r="G69" s="45" t="s">
        <v>33</v>
      </c>
      <c r="H69" s="45">
        <v>4</v>
      </c>
      <c r="I69" s="45"/>
      <c r="J69" s="45"/>
      <c r="K69" s="2"/>
    </row>
    <row r="70" spans="2:11" x14ac:dyDescent="0.25">
      <c r="B70" s="45">
        <v>62</v>
      </c>
      <c r="C70" s="45" t="s">
        <v>563</v>
      </c>
      <c r="D70" s="45" t="s">
        <v>594</v>
      </c>
      <c r="E70" s="60">
        <v>400000</v>
      </c>
      <c r="F70" s="73" t="s">
        <v>61</v>
      </c>
      <c r="G70" s="45" t="s">
        <v>33</v>
      </c>
      <c r="H70" s="45">
        <v>2</v>
      </c>
      <c r="I70" s="45"/>
      <c r="J70" s="45"/>
      <c r="K70" s="2"/>
    </row>
    <row r="71" spans="2:11" x14ac:dyDescent="0.25">
      <c r="B71" s="45">
        <v>63</v>
      </c>
      <c r="C71" s="45" t="s">
        <v>563</v>
      </c>
      <c r="D71" s="45" t="s">
        <v>593</v>
      </c>
      <c r="E71" s="60">
        <v>200000</v>
      </c>
      <c r="F71" s="72" t="s">
        <v>62</v>
      </c>
      <c r="G71" s="45" t="s">
        <v>33</v>
      </c>
      <c r="H71" s="45">
        <v>1</v>
      </c>
      <c r="I71" s="45"/>
      <c r="J71" s="45"/>
      <c r="K71" s="2"/>
    </row>
    <row r="72" spans="2:11" x14ac:dyDescent="0.25">
      <c r="B72" s="45">
        <v>64</v>
      </c>
      <c r="C72" s="45" t="s">
        <v>563</v>
      </c>
      <c r="D72" s="45" t="s">
        <v>592</v>
      </c>
      <c r="E72" s="60">
        <v>200000</v>
      </c>
      <c r="F72" s="73" t="s">
        <v>63</v>
      </c>
      <c r="G72" s="45" t="s">
        <v>33</v>
      </c>
      <c r="H72" s="45">
        <v>1</v>
      </c>
      <c r="I72" s="45"/>
      <c r="J72" s="45"/>
      <c r="K72" s="2"/>
    </row>
    <row r="73" spans="2:11" x14ac:dyDescent="0.25">
      <c r="B73" s="45">
        <v>65</v>
      </c>
      <c r="C73" s="45" t="s">
        <v>563</v>
      </c>
      <c r="D73" s="45" t="s">
        <v>591</v>
      </c>
      <c r="E73" s="60">
        <v>110000</v>
      </c>
      <c r="F73" s="69" t="s">
        <v>591</v>
      </c>
      <c r="G73" s="45" t="s">
        <v>310</v>
      </c>
      <c r="H73" s="45">
        <v>1</v>
      </c>
      <c r="I73" s="45"/>
      <c r="J73" s="45"/>
      <c r="K73" s="2"/>
    </row>
    <row r="74" spans="2:11" x14ac:dyDescent="0.25">
      <c r="B74" s="45">
        <v>66</v>
      </c>
      <c r="C74" s="45" t="s">
        <v>563</v>
      </c>
      <c r="D74" s="45" t="s">
        <v>590</v>
      </c>
      <c r="E74" s="60">
        <v>110000</v>
      </c>
      <c r="F74" s="72" t="s">
        <v>64</v>
      </c>
      <c r="G74" s="45" t="s">
        <v>310</v>
      </c>
      <c r="H74" s="45">
        <v>1</v>
      </c>
      <c r="I74" s="45"/>
      <c r="J74" s="45"/>
      <c r="K74" s="2"/>
    </row>
    <row r="75" spans="2:11" x14ac:dyDescent="0.25">
      <c r="B75" s="45">
        <v>67</v>
      </c>
      <c r="C75" s="45" t="s">
        <v>563</v>
      </c>
      <c r="D75" s="45" t="s">
        <v>589</v>
      </c>
      <c r="E75" s="60">
        <v>200000</v>
      </c>
      <c r="F75" s="73" t="s">
        <v>65</v>
      </c>
      <c r="G75" s="45" t="s">
        <v>33</v>
      </c>
      <c r="H75" s="45">
        <v>1</v>
      </c>
      <c r="I75" s="45"/>
      <c r="J75" s="45"/>
      <c r="K75" s="2"/>
    </row>
    <row r="76" spans="2:11" x14ac:dyDescent="0.25">
      <c r="B76" s="45">
        <v>68</v>
      </c>
      <c r="C76" s="45" t="s">
        <v>563</v>
      </c>
      <c r="D76" s="45" t="s">
        <v>588</v>
      </c>
      <c r="E76" s="60">
        <v>200000</v>
      </c>
      <c r="F76" s="69" t="s">
        <v>588</v>
      </c>
      <c r="G76" s="45" t="s">
        <v>33</v>
      </c>
      <c r="H76" s="45">
        <v>1</v>
      </c>
      <c r="I76" s="45"/>
      <c r="J76" s="45"/>
      <c r="K76" s="2"/>
    </row>
    <row r="77" spans="2:11" x14ac:dyDescent="0.25">
      <c r="B77" s="45">
        <v>69</v>
      </c>
      <c r="C77" s="45" t="s">
        <v>563</v>
      </c>
      <c r="D77" s="45" t="s">
        <v>587</v>
      </c>
      <c r="E77" s="60">
        <v>200000</v>
      </c>
      <c r="F77" s="71" t="s">
        <v>66</v>
      </c>
      <c r="G77" s="45" t="s">
        <v>33</v>
      </c>
      <c r="H77" s="45">
        <v>1</v>
      </c>
      <c r="I77" s="45"/>
      <c r="J77" s="45"/>
      <c r="K77" s="2"/>
    </row>
    <row r="78" spans="2:11" x14ac:dyDescent="0.25">
      <c r="B78" s="45">
        <v>70</v>
      </c>
      <c r="C78" s="45" t="s">
        <v>563</v>
      </c>
      <c r="D78" s="45" t="s">
        <v>586</v>
      </c>
      <c r="E78" s="60">
        <v>220000</v>
      </c>
      <c r="F78" s="72" t="s">
        <v>67</v>
      </c>
      <c r="G78" s="45" t="s">
        <v>35</v>
      </c>
      <c r="H78" s="45">
        <v>2</v>
      </c>
      <c r="I78" s="45"/>
      <c r="J78" s="45"/>
      <c r="K78" s="2"/>
    </row>
    <row r="79" spans="2:11" x14ac:dyDescent="0.25">
      <c r="B79" s="45">
        <v>71</v>
      </c>
      <c r="C79" s="45" t="s">
        <v>563</v>
      </c>
      <c r="D79" s="45" t="s">
        <v>585</v>
      </c>
      <c r="E79" s="60">
        <v>600000</v>
      </c>
      <c r="F79" s="73" t="s">
        <v>68</v>
      </c>
      <c r="G79" s="45" t="s">
        <v>33</v>
      </c>
      <c r="H79" s="45">
        <v>3</v>
      </c>
      <c r="I79" s="45"/>
      <c r="J79" s="45"/>
      <c r="K79" s="2"/>
    </row>
    <row r="80" spans="2:11" x14ac:dyDescent="0.25">
      <c r="B80" s="45">
        <v>72</v>
      </c>
      <c r="C80" s="45" t="s">
        <v>563</v>
      </c>
      <c r="D80" s="45" t="s">
        <v>584</v>
      </c>
      <c r="E80" s="60">
        <v>200000</v>
      </c>
      <c r="F80" s="72" t="s">
        <v>69</v>
      </c>
      <c r="G80" s="45" t="s">
        <v>33</v>
      </c>
      <c r="H80" s="45">
        <v>1</v>
      </c>
      <c r="I80" s="45"/>
      <c r="J80" s="45"/>
      <c r="K80" s="2"/>
    </row>
    <row r="81" spans="2:11" x14ac:dyDescent="0.25">
      <c r="B81" s="45">
        <v>73</v>
      </c>
      <c r="C81" s="45" t="s">
        <v>563</v>
      </c>
      <c r="D81" s="45" t="s">
        <v>583</v>
      </c>
      <c r="E81" s="60">
        <v>200000</v>
      </c>
      <c r="F81" s="73" t="s">
        <v>70</v>
      </c>
      <c r="G81" s="45" t="s">
        <v>33</v>
      </c>
      <c r="H81" s="45">
        <v>1</v>
      </c>
      <c r="I81" s="45"/>
      <c r="J81" s="45"/>
      <c r="K81" s="2"/>
    </row>
    <row r="82" spans="2:11" x14ac:dyDescent="0.25">
      <c r="B82" s="45">
        <v>74</v>
      </c>
      <c r="C82" s="45" t="s">
        <v>563</v>
      </c>
      <c r="D82" s="45" t="s">
        <v>582</v>
      </c>
      <c r="E82" s="60">
        <v>300000</v>
      </c>
      <c r="F82" s="72" t="s">
        <v>71</v>
      </c>
      <c r="G82" s="45" t="s">
        <v>34</v>
      </c>
      <c r="H82" s="45">
        <v>2</v>
      </c>
      <c r="I82" s="45"/>
      <c r="J82" s="45"/>
      <c r="K82" s="2"/>
    </row>
    <row r="83" spans="2:11" x14ac:dyDescent="0.25">
      <c r="B83" s="45">
        <v>75</v>
      </c>
      <c r="C83" s="45" t="s">
        <v>563</v>
      </c>
      <c r="D83" s="45" t="s">
        <v>581</v>
      </c>
      <c r="E83" s="60">
        <v>200000</v>
      </c>
      <c r="F83" s="73" t="s">
        <v>72</v>
      </c>
      <c r="G83" s="45" t="s">
        <v>33</v>
      </c>
      <c r="H83" s="45">
        <v>1</v>
      </c>
      <c r="I83" s="45"/>
      <c r="J83" s="45"/>
      <c r="K83" s="2"/>
    </row>
    <row r="84" spans="2:11" x14ac:dyDescent="0.25">
      <c r="B84" s="45">
        <v>76</v>
      </c>
      <c r="C84" s="45" t="s">
        <v>563</v>
      </c>
      <c r="D84" s="45" t="s">
        <v>580</v>
      </c>
      <c r="E84" s="60">
        <v>200000</v>
      </c>
      <c r="F84" s="72" t="s">
        <v>73</v>
      </c>
      <c r="G84" s="45" t="s">
        <v>33</v>
      </c>
      <c r="H84" s="45">
        <v>1</v>
      </c>
      <c r="I84" s="45"/>
      <c r="J84" s="45"/>
      <c r="K84" s="2"/>
    </row>
    <row r="85" spans="2:11" x14ac:dyDescent="0.25">
      <c r="B85" s="45">
        <v>77</v>
      </c>
      <c r="C85" s="45" t="s">
        <v>563</v>
      </c>
      <c r="D85" s="45" t="s">
        <v>579</v>
      </c>
      <c r="E85" s="60">
        <v>200000</v>
      </c>
      <c r="F85" s="73" t="s">
        <v>74</v>
      </c>
      <c r="G85" s="45" t="s">
        <v>33</v>
      </c>
      <c r="H85" s="45">
        <v>1</v>
      </c>
      <c r="I85" s="45"/>
      <c r="J85" s="45"/>
      <c r="K85" s="2"/>
    </row>
    <row r="86" spans="2:11" ht="45" x14ac:dyDescent="0.25">
      <c r="B86" s="45"/>
      <c r="C86" s="45" t="s">
        <v>670</v>
      </c>
      <c r="D86" s="45" t="s">
        <v>669</v>
      </c>
      <c r="E86" s="60">
        <v>200000</v>
      </c>
      <c r="F86" s="73" t="s">
        <v>669</v>
      </c>
      <c r="G86" s="45" t="s">
        <v>33</v>
      </c>
      <c r="H86" s="45">
        <v>1</v>
      </c>
      <c r="I86" s="45" t="s">
        <v>671</v>
      </c>
      <c r="J86" s="45"/>
      <c r="K86" s="2"/>
    </row>
    <row r="87" spans="2:11" x14ac:dyDescent="0.25">
      <c r="B87" s="45">
        <v>78</v>
      </c>
      <c r="C87" s="45" t="s">
        <v>563</v>
      </c>
      <c r="D87" s="45" t="s">
        <v>578</v>
      </c>
      <c r="E87" s="60">
        <v>300000</v>
      </c>
      <c r="F87" s="73" t="s">
        <v>76</v>
      </c>
      <c r="G87" s="45" t="s">
        <v>34</v>
      </c>
      <c r="H87" s="45">
        <v>2</v>
      </c>
      <c r="I87" s="45"/>
      <c r="J87" s="45"/>
      <c r="K87" s="2"/>
    </row>
    <row r="88" spans="2:11" x14ac:dyDescent="0.25">
      <c r="B88" s="45">
        <v>79</v>
      </c>
      <c r="C88" s="45" t="s">
        <v>563</v>
      </c>
      <c r="D88" s="45" t="s">
        <v>577</v>
      </c>
      <c r="E88" s="60">
        <v>200000</v>
      </c>
      <c r="F88" s="72" t="s">
        <v>82</v>
      </c>
      <c r="G88" s="45" t="s">
        <v>33</v>
      </c>
      <c r="H88" s="45">
        <v>1</v>
      </c>
      <c r="I88" s="45"/>
      <c r="J88" s="45"/>
      <c r="K88" s="2"/>
    </row>
    <row r="89" spans="2:11" x14ac:dyDescent="0.25">
      <c r="B89" s="45">
        <v>80</v>
      </c>
      <c r="C89" s="45" t="s">
        <v>563</v>
      </c>
      <c r="D89" s="45" t="s">
        <v>576</v>
      </c>
      <c r="E89" s="60">
        <v>200000</v>
      </c>
      <c r="F89" s="72" t="s">
        <v>77</v>
      </c>
      <c r="G89" s="45" t="s">
        <v>33</v>
      </c>
      <c r="H89" s="45">
        <v>1</v>
      </c>
      <c r="I89" s="45"/>
      <c r="J89" s="45"/>
      <c r="K89" s="2"/>
    </row>
    <row r="90" spans="2:11" x14ac:dyDescent="0.25">
      <c r="B90" s="45">
        <v>81</v>
      </c>
      <c r="C90" s="45" t="s">
        <v>563</v>
      </c>
      <c r="D90" s="45" t="s">
        <v>575</v>
      </c>
      <c r="E90" s="60">
        <v>110000</v>
      </c>
      <c r="F90" s="73" t="s">
        <v>78</v>
      </c>
      <c r="G90" s="45" t="s">
        <v>35</v>
      </c>
      <c r="H90" s="45">
        <v>1</v>
      </c>
      <c r="I90" s="45"/>
      <c r="J90" s="45"/>
      <c r="K90" s="2"/>
    </row>
    <row r="91" spans="2:11" x14ac:dyDescent="0.25">
      <c r="B91" s="45">
        <v>82</v>
      </c>
      <c r="C91" s="45" t="s">
        <v>563</v>
      </c>
      <c r="D91" s="45" t="s">
        <v>574</v>
      </c>
      <c r="E91" s="60">
        <v>150000</v>
      </c>
      <c r="F91" s="72" t="s">
        <v>79</v>
      </c>
      <c r="G91" s="45" t="s">
        <v>34</v>
      </c>
      <c r="H91" s="45">
        <v>1</v>
      </c>
      <c r="I91" s="45"/>
      <c r="J91" s="45"/>
      <c r="K91" s="2"/>
    </row>
    <row r="92" spans="2:11" x14ac:dyDescent="0.25">
      <c r="B92" s="45">
        <v>83</v>
      </c>
      <c r="C92" s="45" t="s">
        <v>563</v>
      </c>
      <c r="D92" s="45" t="s">
        <v>573</v>
      </c>
      <c r="E92" s="60">
        <v>200000</v>
      </c>
      <c r="F92" s="72" t="s">
        <v>81</v>
      </c>
      <c r="G92" s="45" t="s">
        <v>33</v>
      </c>
      <c r="H92" s="45">
        <v>1</v>
      </c>
      <c r="I92" s="45"/>
      <c r="J92" s="45"/>
      <c r="K92" s="2"/>
    </row>
    <row r="93" spans="2:11" x14ac:dyDescent="0.25">
      <c r="B93" s="45">
        <v>84</v>
      </c>
      <c r="C93" s="45" t="s">
        <v>563</v>
      </c>
      <c r="D93" s="45" t="s">
        <v>572</v>
      </c>
      <c r="E93" s="60">
        <v>200000</v>
      </c>
      <c r="F93" s="72" t="s">
        <v>89</v>
      </c>
      <c r="G93" s="45" t="s">
        <v>33</v>
      </c>
      <c r="H93" s="45">
        <v>1</v>
      </c>
      <c r="I93" s="45"/>
      <c r="J93" s="45"/>
      <c r="K93" s="2"/>
    </row>
    <row r="94" spans="2:11" x14ac:dyDescent="0.25">
      <c r="B94" s="45">
        <v>85</v>
      </c>
      <c r="C94" s="45" t="s">
        <v>563</v>
      </c>
      <c r="D94" s="45" t="s">
        <v>571</v>
      </c>
      <c r="E94" s="60">
        <v>200000</v>
      </c>
      <c r="F94" s="72" t="s">
        <v>84</v>
      </c>
      <c r="G94" s="45" t="s">
        <v>33</v>
      </c>
      <c r="H94" s="45">
        <v>1</v>
      </c>
      <c r="I94" s="45"/>
      <c r="J94" s="45"/>
      <c r="K94" s="2"/>
    </row>
    <row r="95" spans="2:11" ht="25.5" x14ac:dyDescent="0.25">
      <c r="B95" s="45">
        <v>86</v>
      </c>
      <c r="C95" s="45" t="s">
        <v>563</v>
      </c>
      <c r="D95" s="45" t="s">
        <v>570</v>
      </c>
      <c r="E95" s="60">
        <v>150000</v>
      </c>
      <c r="F95" s="73" t="s">
        <v>83</v>
      </c>
      <c r="G95" s="45" t="s">
        <v>34</v>
      </c>
      <c r="H95" s="45">
        <v>1</v>
      </c>
      <c r="I95" s="45"/>
      <c r="J95" s="45"/>
      <c r="K95" s="2"/>
    </row>
    <row r="96" spans="2:11" x14ac:dyDescent="0.25">
      <c r="B96" s="45">
        <v>87</v>
      </c>
      <c r="C96" s="45" t="s">
        <v>563</v>
      </c>
      <c r="D96" s="45" t="s">
        <v>568</v>
      </c>
      <c r="E96" s="60">
        <v>370000</v>
      </c>
      <c r="F96" s="73" t="s">
        <v>85</v>
      </c>
      <c r="G96" s="45" t="s">
        <v>33</v>
      </c>
      <c r="H96" s="45">
        <v>2</v>
      </c>
      <c r="I96" s="45" t="s">
        <v>569</v>
      </c>
      <c r="J96" s="45"/>
      <c r="K96" s="2"/>
    </row>
    <row r="97" spans="2:11" ht="45" x14ac:dyDescent="0.25">
      <c r="B97" s="45"/>
      <c r="C97" s="45" t="s">
        <v>563</v>
      </c>
      <c r="D97" s="12" t="s">
        <v>90</v>
      </c>
      <c r="E97" s="60">
        <v>200000</v>
      </c>
      <c r="F97" s="73" t="s">
        <v>90</v>
      </c>
      <c r="G97" s="45" t="s">
        <v>33</v>
      </c>
      <c r="H97" s="45">
        <v>1</v>
      </c>
      <c r="I97" s="45" t="s">
        <v>671</v>
      </c>
      <c r="J97" s="45"/>
      <c r="K97" s="2"/>
    </row>
    <row r="98" spans="2:11" x14ac:dyDescent="0.25">
      <c r="B98" s="45">
        <v>88</v>
      </c>
      <c r="C98" s="45" t="s">
        <v>563</v>
      </c>
      <c r="D98" s="45" t="s">
        <v>567</v>
      </c>
      <c r="E98" s="60">
        <v>150000</v>
      </c>
      <c r="F98" s="72" t="s">
        <v>91</v>
      </c>
      <c r="G98" s="45" t="s">
        <v>34</v>
      </c>
      <c r="H98" s="45">
        <v>1</v>
      </c>
      <c r="I98" s="45"/>
      <c r="J98" s="45"/>
      <c r="K98" s="2"/>
    </row>
    <row r="99" spans="2:11" x14ac:dyDescent="0.25">
      <c r="B99" s="45">
        <v>89</v>
      </c>
      <c r="C99" s="45" t="s">
        <v>563</v>
      </c>
      <c r="D99" s="45" t="s">
        <v>566</v>
      </c>
      <c r="E99" s="60">
        <v>200000</v>
      </c>
      <c r="F99" s="73" t="s">
        <v>92</v>
      </c>
      <c r="G99" s="45" t="s">
        <v>33</v>
      </c>
      <c r="H99" s="45">
        <v>1</v>
      </c>
      <c r="I99" s="45"/>
      <c r="J99" s="45"/>
      <c r="K99" s="2"/>
    </row>
    <row r="100" spans="2:11" x14ac:dyDescent="0.25">
      <c r="B100" s="45">
        <v>90</v>
      </c>
      <c r="C100" s="45" t="s">
        <v>563</v>
      </c>
      <c r="D100" s="45" t="s">
        <v>565</v>
      </c>
      <c r="E100" s="60">
        <v>400000</v>
      </c>
      <c r="F100" s="72" t="s">
        <v>93</v>
      </c>
      <c r="G100" s="45" t="s">
        <v>33</v>
      </c>
      <c r="H100" s="45">
        <v>2</v>
      </c>
      <c r="I100" s="45"/>
      <c r="J100" s="45"/>
      <c r="K100" s="2"/>
    </row>
    <row r="101" spans="2:11" x14ac:dyDescent="0.25">
      <c r="B101" s="45">
        <v>91</v>
      </c>
      <c r="C101" s="45" t="s">
        <v>563</v>
      </c>
      <c r="D101" s="45" t="s">
        <v>564</v>
      </c>
      <c r="E101" s="60">
        <v>800000</v>
      </c>
      <c r="F101" s="71" t="s">
        <v>94</v>
      </c>
      <c r="G101" s="45" t="s">
        <v>33</v>
      </c>
      <c r="H101" s="45">
        <v>4</v>
      </c>
      <c r="I101" s="45"/>
      <c r="J101" s="45"/>
      <c r="K101" s="2"/>
    </row>
    <row r="102" spans="2:11" x14ac:dyDescent="0.25">
      <c r="B102" s="45">
        <v>92</v>
      </c>
      <c r="C102" s="45" t="s">
        <v>530</v>
      </c>
      <c r="D102" s="45" t="s">
        <v>562</v>
      </c>
      <c r="E102" s="60">
        <v>150000</v>
      </c>
      <c r="F102" s="71" t="s">
        <v>95</v>
      </c>
      <c r="G102" s="45" t="s">
        <v>34</v>
      </c>
      <c r="H102" s="45">
        <v>1</v>
      </c>
      <c r="I102" s="45"/>
      <c r="J102" s="45"/>
      <c r="K102" s="2"/>
    </row>
    <row r="103" spans="2:11" x14ac:dyDescent="0.25">
      <c r="B103" s="45">
        <v>93</v>
      </c>
      <c r="C103" s="45" t="s">
        <v>530</v>
      </c>
      <c r="D103" s="45" t="s">
        <v>542</v>
      </c>
      <c r="E103" s="60">
        <v>150000</v>
      </c>
      <c r="F103" s="71" t="s">
        <v>96</v>
      </c>
      <c r="G103" s="45" t="s">
        <v>34</v>
      </c>
      <c r="H103" s="45">
        <v>1</v>
      </c>
      <c r="I103" s="45"/>
      <c r="J103" s="45"/>
      <c r="K103" s="2"/>
    </row>
    <row r="104" spans="2:11" x14ac:dyDescent="0.25">
      <c r="B104" s="45">
        <v>94</v>
      </c>
      <c r="C104" s="45" t="s">
        <v>530</v>
      </c>
      <c r="D104" s="45" t="s">
        <v>561</v>
      </c>
      <c r="E104" s="60">
        <v>600000</v>
      </c>
      <c r="F104" s="71" t="s">
        <v>97</v>
      </c>
      <c r="G104" s="45" t="s">
        <v>33</v>
      </c>
      <c r="H104" s="45">
        <v>3</v>
      </c>
      <c r="I104" s="45"/>
      <c r="J104" s="45"/>
      <c r="K104" s="2"/>
    </row>
    <row r="105" spans="2:11" x14ac:dyDescent="0.25">
      <c r="B105" s="45">
        <v>95</v>
      </c>
      <c r="C105" s="45" t="s">
        <v>530</v>
      </c>
      <c r="D105" s="45" t="s">
        <v>560</v>
      </c>
      <c r="E105" s="60">
        <v>200000</v>
      </c>
      <c r="F105" s="71" t="s">
        <v>98</v>
      </c>
      <c r="G105" s="45" t="s">
        <v>33</v>
      </c>
      <c r="H105" s="45">
        <v>1</v>
      </c>
      <c r="I105" s="45"/>
      <c r="J105" s="45"/>
      <c r="K105" s="2"/>
    </row>
    <row r="106" spans="2:11" x14ac:dyDescent="0.25">
      <c r="B106" s="45">
        <v>96</v>
      </c>
      <c r="C106" s="45" t="s">
        <v>530</v>
      </c>
      <c r="D106" s="45" t="s">
        <v>559</v>
      </c>
      <c r="E106" s="60">
        <v>220000</v>
      </c>
      <c r="F106" s="71" t="s">
        <v>123</v>
      </c>
      <c r="G106" s="45" t="s">
        <v>310</v>
      </c>
      <c r="H106" s="45">
        <v>2</v>
      </c>
      <c r="I106" s="45"/>
      <c r="J106" s="45"/>
      <c r="K106" s="2"/>
    </row>
    <row r="107" spans="2:11" x14ac:dyDescent="0.25">
      <c r="B107" s="45">
        <v>97</v>
      </c>
      <c r="C107" s="45" t="s">
        <v>530</v>
      </c>
      <c r="D107" s="45" t="s">
        <v>558</v>
      </c>
      <c r="E107" s="60">
        <v>800000</v>
      </c>
      <c r="F107" s="71" t="s">
        <v>99</v>
      </c>
      <c r="G107" s="45" t="s">
        <v>33</v>
      </c>
      <c r="H107" s="45">
        <v>4</v>
      </c>
      <c r="I107" s="45"/>
      <c r="J107" s="45"/>
      <c r="K107" s="2"/>
    </row>
    <row r="108" spans="2:11" x14ac:dyDescent="0.25">
      <c r="B108" s="45">
        <v>98</v>
      </c>
      <c r="C108" s="45" t="s">
        <v>530</v>
      </c>
      <c r="D108" s="45" t="s">
        <v>557</v>
      </c>
      <c r="E108" s="60">
        <v>200000</v>
      </c>
      <c r="F108" s="71" t="s">
        <v>100</v>
      </c>
      <c r="G108" s="45" t="s">
        <v>33</v>
      </c>
      <c r="H108" s="45">
        <v>1</v>
      </c>
      <c r="I108" s="45"/>
      <c r="J108" s="45"/>
      <c r="K108" s="2"/>
    </row>
    <row r="109" spans="2:11" x14ac:dyDescent="0.25">
      <c r="B109" s="45">
        <v>100</v>
      </c>
      <c r="C109" s="45" t="s">
        <v>530</v>
      </c>
      <c r="D109" s="45" t="s">
        <v>556</v>
      </c>
      <c r="E109" s="60">
        <v>150000</v>
      </c>
      <c r="F109" s="71" t="s">
        <v>101</v>
      </c>
      <c r="G109" s="45" t="s">
        <v>34</v>
      </c>
      <c r="H109" s="45">
        <v>1</v>
      </c>
      <c r="I109" s="45"/>
      <c r="J109" s="45"/>
      <c r="K109" s="2"/>
    </row>
    <row r="110" spans="2:11" x14ac:dyDescent="0.25">
      <c r="B110" s="45">
        <v>101</v>
      </c>
      <c r="C110" s="45" t="s">
        <v>530</v>
      </c>
      <c r="D110" s="45" t="s">
        <v>529</v>
      </c>
      <c r="E110" s="60">
        <v>200000</v>
      </c>
      <c r="F110" s="71" t="s">
        <v>118</v>
      </c>
      <c r="G110" s="45" t="s">
        <v>33</v>
      </c>
      <c r="H110" s="45">
        <v>1</v>
      </c>
      <c r="I110" s="45"/>
      <c r="J110" s="45"/>
      <c r="K110" s="2"/>
    </row>
    <row r="111" spans="2:11" x14ac:dyDescent="0.25">
      <c r="B111" s="45">
        <v>102</v>
      </c>
      <c r="C111" s="45" t="s">
        <v>530</v>
      </c>
      <c r="D111" s="45" t="s">
        <v>555</v>
      </c>
      <c r="E111" s="60">
        <v>200000</v>
      </c>
      <c r="F111" s="71" t="s">
        <v>106</v>
      </c>
      <c r="G111" s="45" t="s">
        <v>33</v>
      </c>
      <c r="H111" s="45">
        <v>1</v>
      </c>
      <c r="I111" s="45"/>
      <c r="J111" s="45"/>
      <c r="K111" s="2"/>
    </row>
    <row r="112" spans="2:11" x14ac:dyDescent="0.25">
      <c r="B112" s="45">
        <v>103</v>
      </c>
      <c r="C112" s="45" t="s">
        <v>530</v>
      </c>
      <c r="D112" s="45" t="s">
        <v>554</v>
      </c>
      <c r="E112" s="60">
        <v>300000</v>
      </c>
      <c r="F112" s="71" t="s">
        <v>102</v>
      </c>
      <c r="G112" s="45" t="s">
        <v>34</v>
      </c>
      <c r="H112" s="45">
        <v>2</v>
      </c>
      <c r="I112" s="45"/>
      <c r="J112" s="45"/>
      <c r="K112" s="2"/>
    </row>
    <row r="113" spans="2:11" x14ac:dyDescent="0.25">
      <c r="B113" s="45">
        <v>104</v>
      </c>
      <c r="C113" s="45" t="s">
        <v>530</v>
      </c>
      <c r="D113" s="45" t="s">
        <v>553</v>
      </c>
      <c r="E113" s="60">
        <v>150000</v>
      </c>
      <c r="F113" s="71" t="s">
        <v>103</v>
      </c>
      <c r="G113" s="45" t="s">
        <v>34</v>
      </c>
      <c r="H113" s="45">
        <v>1</v>
      </c>
      <c r="I113" s="45"/>
      <c r="J113" s="45"/>
      <c r="K113" s="2"/>
    </row>
    <row r="114" spans="2:11" ht="25.5" x14ac:dyDescent="0.25">
      <c r="B114" s="45">
        <v>105</v>
      </c>
      <c r="C114" s="45" t="s">
        <v>530</v>
      </c>
      <c r="D114" s="45" t="s">
        <v>552</v>
      </c>
      <c r="E114" s="60">
        <v>200000</v>
      </c>
      <c r="F114" s="71" t="s">
        <v>104</v>
      </c>
      <c r="G114" s="45" t="s">
        <v>33</v>
      </c>
      <c r="H114" s="45">
        <v>1</v>
      </c>
      <c r="I114" s="45"/>
      <c r="J114" s="45"/>
      <c r="K114" s="2"/>
    </row>
    <row r="115" spans="2:11" x14ac:dyDescent="0.25">
      <c r="B115" s="45">
        <v>106</v>
      </c>
      <c r="C115" s="45" t="s">
        <v>530</v>
      </c>
      <c r="D115" s="45" t="s">
        <v>551</v>
      </c>
      <c r="E115" s="60">
        <v>200000</v>
      </c>
      <c r="F115" s="71" t="s">
        <v>105</v>
      </c>
      <c r="G115" s="45" t="s">
        <v>33</v>
      </c>
      <c r="H115" s="45">
        <v>1</v>
      </c>
      <c r="I115" s="45"/>
      <c r="J115" s="45"/>
      <c r="K115" s="2"/>
    </row>
    <row r="116" spans="2:11" ht="25.5" x14ac:dyDescent="0.25">
      <c r="B116" s="45">
        <v>107</v>
      </c>
      <c r="C116" s="45" t="s">
        <v>530</v>
      </c>
      <c r="D116" s="45" t="s">
        <v>550</v>
      </c>
      <c r="E116" s="60">
        <v>200000</v>
      </c>
      <c r="F116" s="71" t="s">
        <v>107</v>
      </c>
      <c r="G116" s="45" t="s">
        <v>33</v>
      </c>
      <c r="H116" s="45">
        <v>1</v>
      </c>
      <c r="I116" s="45"/>
      <c r="J116" s="45"/>
      <c r="K116" s="2"/>
    </row>
    <row r="117" spans="2:11" x14ac:dyDescent="0.25">
      <c r="B117" s="45"/>
      <c r="C117" s="45" t="s">
        <v>530</v>
      </c>
      <c r="D117" s="45" t="s">
        <v>549</v>
      </c>
      <c r="E117" s="60">
        <v>550000</v>
      </c>
      <c r="F117" s="71" t="s">
        <v>125</v>
      </c>
      <c r="G117" s="45" t="s">
        <v>310</v>
      </c>
      <c r="H117" s="45">
        <v>5</v>
      </c>
      <c r="I117" s="45"/>
      <c r="J117" s="45"/>
      <c r="K117" s="2"/>
    </row>
    <row r="118" spans="2:11" x14ac:dyDescent="0.25">
      <c r="B118" s="45">
        <v>108</v>
      </c>
      <c r="C118" s="45" t="s">
        <v>530</v>
      </c>
      <c r="D118" s="45" t="s">
        <v>549</v>
      </c>
      <c r="E118" s="60">
        <v>200000</v>
      </c>
      <c r="F118" s="74" t="s">
        <v>108</v>
      </c>
      <c r="G118" s="45" t="s">
        <v>33</v>
      </c>
      <c r="H118" s="45">
        <v>1</v>
      </c>
      <c r="I118" s="45"/>
      <c r="J118" s="45"/>
      <c r="K118" s="2"/>
    </row>
    <row r="119" spans="2:11" x14ac:dyDescent="0.25">
      <c r="B119" s="45">
        <v>109</v>
      </c>
      <c r="C119" s="45" t="s">
        <v>530</v>
      </c>
      <c r="D119" s="45" t="s">
        <v>548</v>
      </c>
      <c r="E119" s="60">
        <v>150000</v>
      </c>
      <c r="F119" s="34" t="s">
        <v>122</v>
      </c>
      <c r="G119" s="45" t="s">
        <v>34</v>
      </c>
      <c r="H119" s="45">
        <v>1</v>
      </c>
      <c r="I119" s="45"/>
      <c r="J119" s="45"/>
      <c r="K119" s="2"/>
    </row>
    <row r="120" spans="2:11" x14ac:dyDescent="0.25">
      <c r="B120" s="45">
        <v>110</v>
      </c>
      <c r="C120" s="45" t="s">
        <v>530</v>
      </c>
      <c r="D120" s="45" t="s">
        <v>547</v>
      </c>
      <c r="E120" s="60">
        <v>400000</v>
      </c>
      <c r="F120" s="71" t="s">
        <v>117</v>
      </c>
      <c r="G120" s="45" t="s">
        <v>33</v>
      </c>
      <c r="H120" s="45">
        <v>2</v>
      </c>
      <c r="I120" s="45"/>
      <c r="J120" s="45"/>
      <c r="K120" s="2"/>
    </row>
    <row r="121" spans="2:11" x14ac:dyDescent="0.25">
      <c r="B121" s="45">
        <v>111</v>
      </c>
      <c r="C121" s="45" t="s">
        <v>530</v>
      </c>
      <c r="D121" s="45" t="s">
        <v>546</v>
      </c>
      <c r="E121" s="60">
        <v>300000</v>
      </c>
      <c r="F121" s="71" t="s">
        <v>110</v>
      </c>
      <c r="G121" s="45" t="s">
        <v>34</v>
      </c>
      <c r="H121" s="45">
        <v>2</v>
      </c>
      <c r="I121" s="45"/>
      <c r="J121" s="45"/>
      <c r="K121" s="2"/>
    </row>
    <row r="122" spans="2:11" ht="25.5" x14ac:dyDescent="0.25">
      <c r="B122" s="45">
        <v>112</v>
      </c>
      <c r="C122" s="45" t="s">
        <v>530</v>
      </c>
      <c r="D122" s="45" t="s">
        <v>545</v>
      </c>
      <c r="E122" s="60">
        <v>200000</v>
      </c>
      <c r="F122" s="71" t="s">
        <v>111</v>
      </c>
      <c r="G122" s="45" t="s">
        <v>33</v>
      </c>
      <c r="H122" s="45">
        <v>1</v>
      </c>
      <c r="I122" s="45"/>
      <c r="J122" s="45"/>
      <c r="K122" s="2"/>
    </row>
    <row r="123" spans="2:11" x14ac:dyDescent="0.25">
      <c r="B123" s="45">
        <v>113</v>
      </c>
      <c r="C123" s="45" t="s">
        <v>530</v>
      </c>
      <c r="D123" s="45" t="s">
        <v>544</v>
      </c>
      <c r="E123" s="60">
        <v>150000</v>
      </c>
      <c r="F123" s="71" t="s">
        <v>112</v>
      </c>
      <c r="G123" s="45" t="s">
        <v>34</v>
      </c>
      <c r="H123" s="45">
        <v>1</v>
      </c>
      <c r="I123" s="45"/>
      <c r="J123" s="45"/>
      <c r="K123" s="2"/>
    </row>
    <row r="124" spans="2:11" x14ac:dyDescent="0.25">
      <c r="B124" s="45">
        <v>114</v>
      </c>
      <c r="C124" s="45" t="s">
        <v>530</v>
      </c>
      <c r="D124" s="45" t="s">
        <v>543</v>
      </c>
      <c r="E124" s="60">
        <v>400000</v>
      </c>
      <c r="F124" s="71" t="s">
        <v>113</v>
      </c>
      <c r="G124" s="45" t="s">
        <v>33</v>
      </c>
      <c r="H124" s="45">
        <v>2</v>
      </c>
      <c r="I124" s="45"/>
      <c r="J124" s="45"/>
      <c r="K124" s="2"/>
    </row>
    <row r="125" spans="2:11" x14ac:dyDescent="0.25">
      <c r="B125" s="45">
        <v>115</v>
      </c>
      <c r="C125" s="45" t="s">
        <v>530</v>
      </c>
      <c r="D125" s="45" t="s">
        <v>542</v>
      </c>
      <c r="E125" s="60">
        <v>200000</v>
      </c>
      <c r="F125" s="71" t="s">
        <v>115</v>
      </c>
      <c r="G125" s="45" t="s">
        <v>33</v>
      </c>
      <c r="H125" s="45">
        <v>1</v>
      </c>
      <c r="I125" s="45"/>
      <c r="J125" s="45"/>
      <c r="K125" s="2"/>
    </row>
    <row r="126" spans="2:11" x14ac:dyDescent="0.25">
      <c r="B126" s="45">
        <v>116</v>
      </c>
      <c r="C126" s="45" t="s">
        <v>530</v>
      </c>
      <c r="D126" s="45" t="s">
        <v>542</v>
      </c>
      <c r="E126" s="60">
        <v>150000</v>
      </c>
      <c r="F126" s="71" t="s">
        <v>114</v>
      </c>
      <c r="G126" s="45" t="s">
        <v>34</v>
      </c>
      <c r="H126" s="45">
        <v>1</v>
      </c>
      <c r="I126" s="45"/>
      <c r="J126" s="45"/>
      <c r="K126" s="2"/>
    </row>
    <row r="127" spans="2:11" x14ac:dyDescent="0.25">
      <c r="B127" s="45"/>
      <c r="C127" s="45" t="s">
        <v>530</v>
      </c>
      <c r="D127" s="45" t="s">
        <v>542</v>
      </c>
      <c r="E127" s="60">
        <v>150000</v>
      </c>
      <c r="F127" s="71" t="s">
        <v>672</v>
      </c>
      <c r="G127" s="45" t="s">
        <v>34</v>
      </c>
      <c r="H127" s="45"/>
      <c r="I127" s="45"/>
      <c r="J127" s="45"/>
      <c r="K127" s="2"/>
    </row>
    <row r="128" spans="2:11" x14ac:dyDescent="0.25">
      <c r="B128" s="45">
        <v>117</v>
      </c>
      <c r="C128" s="45" t="s">
        <v>530</v>
      </c>
      <c r="D128" s="45" t="s">
        <v>541</v>
      </c>
      <c r="E128" s="60">
        <v>400000</v>
      </c>
      <c r="F128" s="71" t="s">
        <v>126</v>
      </c>
      <c r="G128" s="45" t="s">
        <v>33</v>
      </c>
      <c r="H128" s="45">
        <v>2</v>
      </c>
      <c r="I128" s="45"/>
      <c r="J128" s="45"/>
      <c r="K128" s="2"/>
    </row>
    <row r="129" spans="2:11" x14ac:dyDescent="0.25">
      <c r="B129" s="45">
        <v>118</v>
      </c>
      <c r="C129" s="45" t="s">
        <v>530</v>
      </c>
      <c r="D129" s="45" t="s">
        <v>540</v>
      </c>
      <c r="E129" s="60">
        <v>400000</v>
      </c>
      <c r="F129" s="71" t="s">
        <v>119</v>
      </c>
      <c r="G129" s="45" t="s">
        <v>33</v>
      </c>
      <c r="H129" s="45">
        <v>2</v>
      </c>
      <c r="I129" s="45"/>
      <c r="J129" s="45"/>
      <c r="K129" s="2"/>
    </row>
    <row r="130" spans="2:11" x14ac:dyDescent="0.25">
      <c r="B130" s="45">
        <v>119</v>
      </c>
      <c r="C130" s="45" t="s">
        <v>530</v>
      </c>
      <c r="D130" s="45" t="s">
        <v>539</v>
      </c>
      <c r="E130" s="60">
        <v>300000</v>
      </c>
      <c r="F130" s="71" t="s">
        <v>121</v>
      </c>
      <c r="G130" s="45" t="s">
        <v>34</v>
      </c>
      <c r="H130" s="45">
        <v>2</v>
      </c>
      <c r="I130" s="45"/>
      <c r="J130" s="45"/>
      <c r="K130" s="2"/>
    </row>
    <row r="131" spans="2:11" x14ac:dyDescent="0.25">
      <c r="B131" s="45">
        <v>120</v>
      </c>
      <c r="C131" s="45" t="s">
        <v>530</v>
      </c>
      <c r="D131" s="45" t="s">
        <v>538</v>
      </c>
      <c r="E131" s="60">
        <v>200000</v>
      </c>
      <c r="F131" s="71" t="s">
        <v>120</v>
      </c>
      <c r="G131" s="45" t="s">
        <v>33</v>
      </c>
      <c r="H131" s="45">
        <v>1</v>
      </c>
      <c r="I131" s="45"/>
      <c r="J131" s="45"/>
      <c r="K131" s="2"/>
    </row>
    <row r="132" spans="2:11" x14ac:dyDescent="0.25">
      <c r="B132" s="45">
        <v>121</v>
      </c>
      <c r="C132" s="45" t="s">
        <v>530</v>
      </c>
      <c r="D132" s="45" t="s">
        <v>537</v>
      </c>
      <c r="E132" s="60">
        <v>200000</v>
      </c>
      <c r="F132" s="71" t="s">
        <v>124</v>
      </c>
      <c r="G132" s="45" t="s">
        <v>33</v>
      </c>
      <c r="H132" s="45">
        <v>1</v>
      </c>
      <c r="I132" s="45"/>
      <c r="J132" s="45"/>
      <c r="K132" s="2"/>
    </row>
    <row r="133" spans="2:11" ht="25.5" x14ac:dyDescent="0.25">
      <c r="B133" s="45">
        <v>122</v>
      </c>
      <c r="C133" s="45" t="s">
        <v>530</v>
      </c>
      <c r="D133" s="45" t="s">
        <v>536</v>
      </c>
      <c r="E133" s="60">
        <v>300000</v>
      </c>
      <c r="F133" s="71" t="s">
        <v>127</v>
      </c>
      <c r="G133" s="45" t="s">
        <v>34</v>
      </c>
      <c r="H133" s="45">
        <v>2</v>
      </c>
      <c r="I133" s="45"/>
      <c r="J133" s="45"/>
      <c r="K133" s="2"/>
    </row>
    <row r="134" spans="2:11" x14ac:dyDescent="0.25">
      <c r="B134" s="45">
        <v>123</v>
      </c>
      <c r="C134" s="45" t="s">
        <v>530</v>
      </c>
      <c r="D134" s="45" t="s">
        <v>535</v>
      </c>
      <c r="E134" s="60">
        <v>400000</v>
      </c>
      <c r="F134" s="71" t="s">
        <v>129</v>
      </c>
      <c r="G134" s="45" t="s">
        <v>33</v>
      </c>
      <c r="H134" s="45">
        <v>2</v>
      </c>
      <c r="I134" s="45"/>
      <c r="J134" s="45"/>
      <c r="K134" s="2"/>
    </row>
    <row r="135" spans="2:11" ht="38.25" x14ac:dyDescent="0.25">
      <c r="B135" s="45">
        <v>124</v>
      </c>
      <c r="C135" s="45" t="s">
        <v>530</v>
      </c>
      <c r="D135" s="45" t="s">
        <v>534</v>
      </c>
      <c r="E135" s="60">
        <v>400000</v>
      </c>
      <c r="F135" s="71" t="s">
        <v>131</v>
      </c>
      <c r="G135" s="45" t="s">
        <v>33</v>
      </c>
      <c r="H135" s="45">
        <v>2</v>
      </c>
      <c r="I135" s="45"/>
      <c r="J135" s="45"/>
      <c r="K135" s="2"/>
    </row>
    <row r="136" spans="2:11" x14ac:dyDescent="0.25">
      <c r="B136" s="45">
        <v>125</v>
      </c>
      <c r="C136" s="45" t="s">
        <v>530</v>
      </c>
      <c r="D136" s="45" t="s">
        <v>533</v>
      </c>
      <c r="E136" s="60">
        <v>200000</v>
      </c>
      <c r="F136" s="71" t="s">
        <v>130</v>
      </c>
      <c r="G136" s="45" t="s">
        <v>33</v>
      </c>
      <c r="H136" s="45">
        <v>1</v>
      </c>
      <c r="I136" s="45"/>
      <c r="J136" s="45"/>
      <c r="K136" s="2"/>
    </row>
    <row r="137" spans="2:11" x14ac:dyDescent="0.25">
      <c r="B137" s="45">
        <v>126</v>
      </c>
      <c r="C137" s="45" t="s">
        <v>530</v>
      </c>
      <c r="D137" s="45" t="s">
        <v>532</v>
      </c>
      <c r="E137" s="60">
        <v>300000</v>
      </c>
      <c r="F137" s="71" t="s">
        <v>132</v>
      </c>
      <c r="G137" s="45" t="s">
        <v>34</v>
      </c>
      <c r="H137" s="45">
        <v>2</v>
      </c>
      <c r="I137" s="45"/>
      <c r="J137" s="45"/>
      <c r="K137" s="2"/>
    </row>
    <row r="138" spans="2:11" x14ac:dyDescent="0.25">
      <c r="B138" s="45">
        <v>127</v>
      </c>
      <c r="C138" s="45" t="s">
        <v>530</v>
      </c>
      <c r="D138" s="45" t="s">
        <v>531</v>
      </c>
      <c r="E138" s="60">
        <v>150000</v>
      </c>
      <c r="F138" s="71" t="s">
        <v>133</v>
      </c>
      <c r="G138" s="45" t="s">
        <v>34</v>
      </c>
      <c r="H138" s="45">
        <v>1</v>
      </c>
      <c r="I138" s="45"/>
      <c r="J138" s="45"/>
      <c r="K138" s="2"/>
    </row>
    <row r="139" spans="2:11" x14ac:dyDescent="0.25">
      <c r="B139" s="45">
        <v>128</v>
      </c>
      <c r="C139" s="45" t="s">
        <v>476</v>
      </c>
      <c r="D139" s="45" t="s">
        <v>529</v>
      </c>
      <c r="E139" s="60">
        <v>600000</v>
      </c>
      <c r="F139" s="66" t="s">
        <v>332</v>
      </c>
      <c r="G139" s="45" t="s">
        <v>33</v>
      </c>
      <c r="H139" s="45">
        <v>3</v>
      </c>
      <c r="I139" s="45"/>
      <c r="J139" s="45"/>
      <c r="K139" s="2"/>
    </row>
    <row r="140" spans="2:11" ht="25.5" x14ac:dyDescent="0.25">
      <c r="B140" s="45">
        <v>129</v>
      </c>
      <c r="C140" s="45" t="s">
        <v>476</v>
      </c>
      <c r="D140" s="45" t="s">
        <v>528</v>
      </c>
      <c r="E140" s="60">
        <v>200000</v>
      </c>
      <c r="F140" s="73" t="s">
        <v>143</v>
      </c>
      <c r="G140" s="45" t="s">
        <v>33</v>
      </c>
      <c r="H140" s="45">
        <v>1</v>
      </c>
      <c r="I140" s="45"/>
      <c r="J140" s="45"/>
      <c r="K140" s="2"/>
    </row>
    <row r="141" spans="2:11" ht="25.5" x14ac:dyDescent="0.25">
      <c r="B141" s="45">
        <v>130</v>
      </c>
      <c r="C141" s="45" t="s">
        <v>476</v>
      </c>
      <c r="D141" s="45" t="s">
        <v>527</v>
      </c>
      <c r="E141" s="60">
        <v>200000</v>
      </c>
      <c r="F141" s="72" t="s">
        <v>144</v>
      </c>
      <c r="G141" s="45" t="s">
        <v>33</v>
      </c>
      <c r="H141" s="45">
        <v>1</v>
      </c>
      <c r="I141" s="45"/>
      <c r="J141" s="45"/>
      <c r="K141" s="2"/>
    </row>
    <row r="142" spans="2:11" x14ac:dyDescent="0.25">
      <c r="B142" s="45">
        <v>131</v>
      </c>
      <c r="C142" s="45" t="s">
        <v>476</v>
      </c>
      <c r="D142" s="45" t="s">
        <v>526</v>
      </c>
      <c r="E142" s="60">
        <v>200000</v>
      </c>
      <c r="F142" s="73" t="s">
        <v>145</v>
      </c>
      <c r="G142" s="45" t="s">
        <v>33</v>
      </c>
      <c r="H142" s="45">
        <v>1</v>
      </c>
      <c r="I142" s="45"/>
      <c r="J142" s="45"/>
      <c r="K142" s="2"/>
    </row>
    <row r="143" spans="2:11" x14ac:dyDescent="0.25">
      <c r="B143" s="45">
        <v>132</v>
      </c>
      <c r="C143" s="45" t="s">
        <v>476</v>
      </c>
      <c r="D143" s="45" t="s">
        <v>525</v>
      </c>
      <c r="E143" s="60">
        <v>200000</v>
      </c>
      <c r="F143" s="72" t="s">
        <v>146</v>
      </c>
      <c r="G143" s="45" t="s">
        <v>33</v>
      </c>
      <c r="H143" s="45">
        <v>1</v>
      </c>
      <c r="I143" s="45"/>
      <c r="J143" s="45"/>
      <c r="K143" s="2"/>
    </row>
    <row r="144" spans="2:11" x14ac:dyDescent="0.25">
      <c r="B144" s="45">
        <v>133</v>
      </c>
      <c r="C144" s="45" t="s">
        <v>476</v>
      </c>
      <c r="D144" s="45" t="s">
        <v>524</v>
      </c>
      <c r="E144" s="60">
        <v>800000</v>
      </c>
      <c r="F144" s="73" t="s">
        <v>147</v>
      </c>
      <c r="G144" s="45" t="s">
        <v>33</v>
      </c>
      <c r="H144" s="45">
        <v>4</v>
      </c>
      <c r="I144" s="45"/>
      <c r="J144" s="45"/>
      <c r="K144" s="2"/>
    </row>
    <row r="145" spans="2:11" x14ac:dyDescent="0.25">
      <c r="B145" s="45">
        <v>134</v>
      </c>
      <c r="C145" s="45" t="s">
        <v>476</v>
      </c>
      <c r="D145" s="45" t="s">
        <v>523</v>
      </c>
      <c r="E145" s="60">
        <v>200000</v>
      </c>
      <c r="F145" s="72" t="s">
        <v>152</v>
      </c>
      <c r="G145" s="45" t="s">
        <v>33</v>
      </c>
      <c r="H145" s="45">
        <v>4</v>
      </c>
      <c r="I145" s="45"/>
      <c r="J145" s="45"/>
      <c r="K145" s="2"/>
    </row>
    <row r="146" spans="2:11" x14ac:dyDescent="0.25">
      <c r="B146" s="45">
        <v>135</v>
      </c>
      <c r="C146" s="45" t="s">
        <v>476</v>
      </c>
      <c r="D146" s="45" t="s">
        <v>522</v>
      </c>
      <c r="E146" s="60">
        <v>110000</v>
      </c>
      <c r="F146" s="72" t="s">
        <v>148</v>
      </c>
      <c r="G146" s="45" t="s">
        <v>310</v>
      </c>
      <c r="H146" s="45">
        <v>1</v>
      </c>
      <c r="I146" s="45"/>
      <c r="J146" s="45"/>
      <c r="K146" s="2"/>
    </row>
    <row r="147" spans="2:11" x14ac:dyDescent="0.25">
      <c r="B147" s="45">
        <v>136</v>
      </c>
      <c r="C147" s="45" t="s">
        <v>476</v>
      </c>
      <c r="D147" s="45" t="s">
        <v>521</v>
      </c>
      <c r="E147" s="60">
        <v>200000</v>
      </c>
      <c r="F147" s="73" t="s">
        <v>149</v>
      </c>
      <c r="G147" s="45" t="s">
        <v>33</v>
      </c>
      <c r="H147" s="45">
        <v>1</v>
      </c>
      <c r="I147" s="45"/>
      <c r="J147" s="45"/>
      <c r="K147" s="2"/>
    </row>
    <row r="148" spans="2:11" x14ac:dyDescent="0.25">
      <c r="B148" s="45">
        <v>137</v>
      </c>
      <c r="C148" s="45" t="s">
        <v>476</v>
      </c>
      <c r="D148" s="45" t="s">
        <v>519</v>
      </c>
      <c r="E148" s="60">
        <v>200000</v>
      </c>
      <c r="F148" s="69" t="s">
        <v>520</v>
      </c>
      <c r="G148" s="45" t="s">
        <v>33</v>
      </c>
      <c r="H148" s="45">
        <v>1</v>
      </c>
      <c r="I148" s="45"/>
      <c r="J148" s="45"/>
      <c r="K148" s="2"/>
    </row>
    <row r="149" spans="2:11" x14ac:dyDescent="0.25">
      <c r="B149" s="45">
        <v>138</v>
      </c>
      <c r="C149" s="45" t="s">
        <v>476</v>
      </c>
      <c r="D149" s="45" t="s">
        <v>518</v>
      </c>
      <c r="E149" s="60">
        <v>330000</v>
      </c>
      <c r="F149" s="72" t="s">
        <v>150</v>
      </c>
      <c r="G149" s="45" t="s">
        <v>310</v>
      </c>
      <c r="H149" s="45">
        <v>3</v>
      </c>
      <c r="I149" s="45"/>
      <c r="J149" s="45"/>
      <c r="K149" s="2"/>
    </row>
    <row r="150" spans="2:11" ht="30" x14ac:dyDescent="0.25">
      <c r="B150" s="45">
        <v>139</v>
      </c>
      <c r="C150" s="45" t="s">
        <v>476</v>
      </c>
      <c r="D150" s="45" t="s">
        <v>517</v>
      </c>
      <c r="E150" s="60">
        <v>400000</v>
      </c>
      <c r="F150" s="69" t="s">
        <v>517</v>
      </c>
      <c r="G150" s="45" t="s">
        <v>33</v>
      </c>
      <c r="H150" s="45">
        <v>2</v>
      </c>
      <c r="I150" s="45"/>
      <c r="J150" s="45"/>
      <c r="K150" s="2"/>
    </row>
    <row r="151" spans="2:11" ht="25.5" x14ac:dyDescent="0.25">
      <c r="B151" s="45">
        <v>140</v>
      </c>
      <c r="C151" s="45" t="s">
        <v>476</v>
      </c>
      <c r="D151" s="45" t="s">
        <v>516</v>
      </c>
      <c r="E151" s="60">
        <v>200000</v>
      </c>
      <c r="F151" s="72" t="s">
        <v>151</v>
      </c>
      <c r="G151" s="45" t="s">
        <v>33</v>
      </c>
      <c r="H151" s="45">
        <v>1</v>
      </c>
      <c r="I151" s="45"/>
      <c r="J151" s="45"/>
      <c r="K151" s="2"/>
    </row>
    <row r="152" spans="2:11" x14ac:dyDescent="0.25">
      <c r="B152" s="45">
        <v>141</v>
      </c>
      <c r="C152" s="45" t="s">
        <v>476</v>
      </c>
      <c r="D152" s="45" t="s">
        <v>515</v>
      </c>
      <c r="E152" s="60">
        <v>150000</v>
      </c>
      <c r="F152" s="72" t="s">
        <v>153</v>
      </c>
      <c r="G152" s="45" t="s">
        <v>34</v>
      </c>
      <c r="H152" s="45">
        <v>1</v>
      </c>
      <c r="I152" s="45"/>
      <c r="J152" s="45"/>
      <c r="K152" s="2"/>
    </row>
    <row r="153" spans="2:11" x14ac:dyDescent="0.25">
      <c r="B153" s="45">
        <v>142</v>
      </c>
      <c r="C153" s="45" t="s">
        <v>476</v>
      </c>
      <c r="D153" s="45" t="s">
        <v>155</v>
      </c>
      <c r="E153" s="60">
        <v>450000</v>
      </c>
      <c r="F153" s="72" t="s">
        <v>155</v>
      </c>
      <c r="G153" s="45" t="s">
        <v>34</v>
      </c>
      <c r="H153" s="45">
        <v>3</v>
      </c>
      <c r="I153" s="45"/>
      <c r="J153" s="45"/>
      <c r="K153" s="2"/>
    </row>
    <row r="154" spans="2:11" x14ac:dyDescent="0.25">
      <c r="B154" s="45">
        <v>143</v>
      </c>
      <c r="C154" s="45" t="s">
        <v>476</v>
      </c>
      <c r="D154" s="45" t="s">
        <v>514</v>
      </c>
      <c r="E154" s="60">
        <v>300000</v>
      </c>
      <c r="F154" s="73" t="s">
        <v>154</v>
      </c>
      <c r="G154" s="45" t="s">
        <v>34</v>
      </c>
      <c r="H154" s="45">
        <v>2</v>
      </c>
      <c r="I154" s="45"/>
      <c r="J154" s="45"/>
      <c r="K154" s="2"/>
    </row>
    <row r="155" spans="2:11" x14ac:dyDescent="0.25">
      <c r="B155" s="45">
        <v>144</v>
      </c>
      <c r="C155" s="45" t="s">
        <v>476</v>
      </c>
      <c r="D155" s="45" t="s">
        <v>513</v>
      </c>
      <c r="E155" s="60">
        <v>200000</v>
      </c>
      <c r="F155" s="73" t="s">
        <v>160</v>
      </c>
      <c r="G155" s="45" t="s">
        <v>33</v>
      </c>
      <c r="H155" s="45">
        <v>1</v>
      </c>
      <c r="I155" s="45"/>
      <c r="J155" s="45"/>
      <c r="K155" s="2"/>
    </row>
    <row r="156" spans="2:11" x14ac:dyDescent="0.25">
      <c r="B156" s="45">
        <v>145</v>
      </c>
      <c r="C156" s="45" t="s">
        <v>476</v>
      </c>
      <c r="D156" s="45" t="s">
        <v>512</v>
      </c>
      <c r="E156" s="60">
        <v>150000</v>
      </c>
      <c r="F156" s="73" t="s">
        <v>156</v>
      </c>
      <c r="G156" s="45" t="s">
        <v>34</v>
      </c>
      <c r="H156" s="45">
        <v>1</v>
      </c>
      <c r="I156" s="45"/>
      <c r="J156" s="45"/>
      <c r="K156" s="2"/>
    </row>
    <row r="157" spans="2:11" x14ac:dyDescent="0.25">
      <c r="B157" s="45">
        <v>146</v>
      </c>
      <c r="C157" s="45" t="s">
        <v>476</v>
      </c>
      <c r="D157" s="45" t="s">
        <v>511</v>
      </c>
      <c r="E157" s="60">
        <v>150000</v>
      </c>
      <c r="F157" s="72" t="s">
        <v>157</v>
      </c>
      <c r="G157" s="45" t="s">
        <v>34</v>
      </c>
      <c r="H157" s="45">
        <v>1</v>
      </c>
      <c r="I157" s="45"/>
      <c r="J157" s="45"/>
      <c r="K157" s="2"/>
    </row>
    <row r="158" spans="2:11" x14ac:dyDescent="0.25">
      <c r="B158" s="45">
        <v>147</v>
      </c>
      <c r="C158" s="45" t="s">
        <v>476</v>
      </c>
      <c r="D158" s="45" t="s">
        <v>510</v>
      </c>
      <c r="E158" s="60">
        <v>450000</v>
      </c>
      <c r="F158" s="72" t="s">
        <v>159</v>
      </c>
      <c r="G158" s="45" t="s">
        <v>34</v>
      </c>
      <c r="H158" s="45">
        <v>3</v>
      </c>
      <c r="I158" s="45"/>
      <c r="J158" s="45"/>
      <c r="K158" s="2"/>
    </row>
    <row r="159" spans="2:11" x14ac:dyDescent="0.25">
      <c r="B159" s="45">
        <v>148</v>
      </c>
      <c r="C159" s="45" t="s">
        <v>476</v>
      </c>
      <c r="D159" s="45" t="s">
        <v>509</v>
      </c>
      <c r="E159" s="60">
        <v>300000</v>
      </c>
      <c r="F159" s="73" t="s">
        <v>158</v>
      </c>
      <c r="G159" s="45" t="s">
        <v>34</v>
      </c>
      <c r="H159" s="45">
        <v>2</v>
      </c>
      <c r="I159" s="45"/>
      <c r="J159" s="45"/>
      <c r="K159" s="2"/>
    </row>
    <row r="160" spans="2:11" x14ac:dyDescent="0.25">
      <c r="B160" s="45">
        <v>149</v>
      </c>
      <c r="C160" s="45" t="s">
        <v>476</v>
      </c>
      <c r="D160" s="45" t="s">
        <v>508</v>
      </c>
      <c r="E160" s="60">
        <v>150000</v>
      </c>
      <c r="F160" s="73" t="s">
        <v>162</v>
      </c>
      <c r="G160" s="45" t="s">
        <v>34</v>
      </c>
      <c r="H160" s="45">
        <v>1</v>
      </c>
      <c r="I160" s="45"/>
      <c r="J160" s="45"/>
      <c r="K160" s="2"/>
    </row>
    <row r="161" spans="2:11" x14ac:dyDescent="0.25">
      <c r="B161" s="45">
        <v>150</v>
      </c>
      <c r="C161" s="45" t="s">
        <v>476</v>
      </c>
      <c r="D161" s="45" t="s">
        <v>507</v>
      </c>
      <c r="E161" s="60">
        <v>220000</v>
      </c>
      <c r="F161" s="72" t="s">
        <v>164</v>
      </c>
      <c r="G161" s="45" t="s">
        <v>310</v>
      </c>
      <c r="H161" s="45">
        <v>2</v>
      </c>
      <c r="I161" s="45"/>
      <c r="J161" s="45"/>
      <c r="K161" s="2"/>
    </row>
    <row r="162" spans="2:11" x14ac:dyDescent="0.25">
      <c r="B162" s="45">
        <v>151</v>
      </c>
      <c r="C162" s="45" t="s">
        <v>476</v>
      </c>
      <c r="D162" s="45" t="s">
        <v>506</v>
      </c>
      <c r="E162" s="60">
        <v>300000</v>
      </c>
      <c r="F162" s="73" t="s">
        <v>163</v>
      </c>
      <c r="G162" s="45" t="s">
        <v>34</v>
      </c>
      <c r="H162" s="45">
        <v>2</v>
      </c>
      <c r="I162" s="45"/>
      <c r="J162" s="45"/>
      <c r="K162" s="2"/>
    </row>
    <row r="163" spans="2:11" x14ac:dyDescent="0.25">
      <c r="B163" s="45">
        <v>152</v>
      </c>
      <c r="C163" s="45" t="s">
        <v>476</v>
      </c>
      <c r="D163" s="45" t="s">
        <v>165</v>
      </c>
      <c r="E163" s="60">
        <v>110000</v>
      </c>
      <c r="F163" s="73" t="s">
        <v>165</v>
      </c>
      <c r="G163" s="45" t="s">
        <v>310</v>
      </c>
      <c r="H163" s="45">
        <v>1</v>
      </c>
      <c r="I163" s="45"/>
      <c r="J163" s="45"/>
      <c r="K163" s="2"/>
    </row>
    <row r="164" spans="2:11" ht="30" x14ac:dyDescent="0.25">
      <c r="B164" s="45">
        <v>153</v>
      </c>
      <c r="C164" s="45" t="s">
        <v>476</v>
      </c>
      <c r="D164" s="45" t="s">
        <v>503</v>
      </c>
      <c r="E164" s="60">
        <v>300000</v>
      </c>
      <c r="F164" s="69" t="s">
        <v>503</v>
      </c>
      <c r="G164" s="45" t="s">
        <v>34</v>
      </c>
      <c r="H164" s="45">
        <v>2</v>
      </c>
      <c r="I164" s="45"/>
      <c r="J164" s="45"/>
      <c r="K164" s="2"/>
    </row>
    <row r="165" spans="2:11" x14ac:dyDescent="0.25">
      <c r="B165" s="45">
        <v>154</v>
      </c>
      <c r="C165" s="45" t="s">
        <v>476</v>
      </c>
      <c r="D165" s="45" t="s">
        <v>505</v>
      </c>
      <c r="E165" s="60">
        <v>600000</v>
      </c>
      <c r="F165" s="72" t="s">
        <v>168</v>
      </c>
      <c r="G165" s="45" t="s">
        <v>34</v>
      </c>
      <c r="H165" s="45">
        <v>4</v>
      </c>
      <c r="I165" s="45"/>
      <c r="J165" s="45"/>
      <c r="K165" s="2"/>
    </row>
    <row r="166" spans="2:11" x14ac:dyDescent="0.25">
      <c r="B166" s="45">
        <v>155</v>
      </c>
      <c r="C166" s="45" t="s">
        <v>476</v>
      </c>
      <c r="D166" s="45" t="s">
        <v>504</v>
      </c>
      <c r="E166" s="60">
        <v>300000</v>
      </c>
      <c r="F166" s="73" t="s">
        <v>167</v>
      </c>
      <c r="G166" s="45" t="s">
        <v>34</v>
      </c>
      <c r="H166" s="45">
        <v>2</v>
      </c>
      <c r="I166" s="45"/>
      <c r="J166" s="45"/>
      <c r="K166" s="2"/>
    </row>
    <row r="167" spans="2:11" x14ac:dyDescent="0.25">
      <c r="B167" s="45">
        <v>156</v>
      </c>
      <c r="C167" s="45" t="s">
        <v>476</v>
      </c>
      <c r="D167" s="45" t="s">
        <v>503</v>
      </c>
      <c r="E167" s="60">
        <v>150000</v>
      </c>
      <c r="F167" s="72" t="s">
        <v>685</v>
      </c>
      <c r="G167" s="45" t="s">
        <v>34</v>
      </c>
      <c r="H167" s="45">
        <v>1</v>
      </c>
      <c r="I167" s="45"/>
      <c r="J167" s="45"/>
      <c r="K167" s="2"/>
    </row>
    <row r="168" spans="2:11" x14ac:dyDescent="0.25">
      <c r="B168" s="45">
        <v>157</v>
      </c>
      <c r="C168" s="45" t="s">
        <v>476</v>
      </c>
      <c r="D168" s="45" t="s">
        <v>502</v>
      </c>
      <c r="E168" s="60">
        <v>110000</v>
      </c>
      <c r="F168" s="73" t="s">
        <v>169</v>
      </c>
      <c r="G168" s="45" t="s">
        <v>35</v>
      </c>
      <c r="H168" s="45">
        <v>1</v>
      </c>
      <c r="I168" s="45"/>
      <c r="J168" s="45"/>
      <c r="K168" s="2"/>
    </row>
    <row r="169" spans="2:11" x14ac:dyDescent="0.25">
      <c r="B169" s="45">
        <v>158</v>
      </c>
      <c r="C169" s="45" t="s">
        <v>476</v>
      </c>
      <c r="D169" s="45" t="s">
        <v>501</v>
      </c>
      <c r="E169" s="60">
        <v>150000</v>
      </c>
      <c r="F169" s="73" t="s">
        <v>171</v>
      </c>
      <c r="G169" s="45" t="s">
        <v>34</v>
      </c>
      <c r="H169" s="45">
        <v>1</v>
      </c>
      <c r="I169" s="45"/>
      <c r="J169" s="45"/>
      <c r="K169" s="2"/>
    </row>
    <row r="170" spans="2:11" ht="25.5" x14ac:dyDescent="0.25">
      <c r="B170" s="45">
        <v>159</v>
      </c>
      <c r="C170" s="45" t="s">
        <v>476</v>
      </c>
      <c r="D170" s="45" t="s">
        <v>500</v>
      </c>
      <c r="E170" s="60">
        <v>150000</v>
      </c>
      <c r="F170" s="72" t="s">
        <v>170</v>
      </c>
      <c r="G170" s="45" t="s">
        <v>34</v>
      </c>
      <c r="H170" s="45">
        <v>1</v>
      </c>
      <c r="I170" s="45"/>
      <c r="J170" s="45"/>
      <c r="K170" s="2"/>
    </row>
    <row r="171" spans="2:11" ht="25.5" x14ac:dyDescent="0.25">
      <c r="B171" s="45">
        <v>160</v>
      </c>
      <c r="C171" s="45" t="s">
        <v>476</v>
      </c>
      <c r="D171" s="62" t="s">
        <v>499</v>
      </c>
      <c r="E171" s="60">
        <v>400000</v>
      </c>
      <c r="F171" s="72" t="s">
        <v>187</v>
      </c>
      <c r="G171" s="45" t="s">
        <v>33</v>
      </c>
      <c r="H171" s="45">
        <v>2</v>
      </c>
      <c r="I171" s="45"/>
      <c r="J171" s="45"/>
      <c r="K171" s="2"/>
    </row>
    <row r="172" spans="2:11" x14ac:dyDescent="0.25">
      <c r="B172" s="45">
        <v>161</v>
      </c>
      <c r="C172" s="45" t="s">
        <v>476</v>
      </c>
      <c r="D172" s="45" t="s">
        <v>177</v>
      </c>
      <c r="E172" s="60">
        <v>150000</v>
      </c>
      <c r="F172" s="73" t="s">
        <v>177</v>
      </c>
      <c r="G172" s="45" t="s">
        <v>34</v>
      </c>
      <c r="H172" s="45">
        <v>1</v>
      </c>
      <c r="I172" s="45"/>
      <c r="J172" s="45"/>
      <c r="K172" s="2"/>
    </row>
    <row r="173" spans="2:11" ht="25.5" x14ac:dyDescent="0.25">
      <c r="B173" s="45">
        <v>162</v>
      </c>
      <c r="C173" s="45" t="s">
        <v>476</v>
      </c>
      <c r="D173" s="45" t="s">
        <v>498</v>
      </c>
      <c r="E173" s="60">
        <v>150000</v>
      </c>
      <c r="F173" s="72" t="s">
        <v>174</v>
      </c>
      <c r="G173" s="45" t="s">
        <v>34</v>
      </c>
      <c r="H173" s="45">
        <v>1</v>
      </c>
      <c r="I173" s="45"/>
      <c r="J173" s="45"/>
      <c r="K173" s="2"/>
    </row>
    <row r="174" spans="2:11" x14ac:dyDescent="0.25">
      <c r="B174" s="45">
        <v>163</v>
      </c>
      <c r="C174" s="45" t="s">
        <v>476</v>
      </c>
      <c r="D174" s="45" t="s">
        <v>41</v>
      </c>
      <c r="E174" s="60">
        <v>110000</v>
      </c>
      <c r="F174" s="73" t="s">
        <v>175</v>
      </c>
      <c r="G174" s="45" t="s">
        <v>35</v>
      </c>
      <c r="H174" s="45">
        <v>1</v>
      </c>
      <c r="I174" s="45"/>
      <c r="J174" s="45"/>
      <c r="K174" s="2"/>
    </row>
    <row r="175" spans="2:11" ht="25.5" x14ac:dyDescent="0.25">
      <c r="B175" s="45">
        <v>164</v>
      </c>
      <c r="C175" s="45" t="s">
        <v>476</v>
      </c>
      <c r="D175" s="45" t="s">
        <v>497</v>
      </c>
      <c r="E175" s="60">
        <v>150000</v>
      </c>
      <c r="F175" s="72" t="s">
        <v>176</v>
      </c>
      <c r="G175" s="45" t="s">
        <v>34</v>
      </c>
      <c r="H175" s="45">
        <v>1</v>
      </c>
      <c r="I175" s="45"/>
      <c r="J175" s="45"/>
      <c r="K175" s="2"/>
    </row>
    <row r="176" spans="2:11" x14ac:dyDescent="0.25">
      <c r="B176" s="45">
        <v>165</v>
      </c>
      <c r="C176" s="45" t="s">
        <v>476</v>
      </c>
      <c r="D176" s="45" t="s">
        <v>178</v>
      </c>
      <c r="E176" s="60">
        <v>150000</v>
      </c>
      <c r="F176" s="72" t="s">
        <v>178</v>
      </c>
      <c r="G176" s="45" t="s">
        <v>34</v>
      </c>
      <c r="H176" s="45">
        <v>1</v>
      </c>
      <c r="I176" s="45"/>
      <c r="J176" s="45"/>
      <c r="K176" s="2"/>
    </row>
    <row r="177" spans="2:11" x14ac:dyDescent="0.25">
      <c r="B177" s="45">
        <v>166</v>
      </c>
      <c r="C177" s="45" t="s">
        <v>476</v>
      </c>
      <c r="D177" s="45" t="s">
        <v>179</v>
      </c>
      <c r="E177" s="60">
        <v>440000</v>
      </c>
      <c r="F177" s="73" t="s">
        <v>179</v>
      </c>
      <c r="G177" s="45" t="s">
        <v>35</v>
      </c>
      <c r="H177" s="45">
        <v>4</v>
      </c>
      <c r="I177" s="45"/>
      <c r="J177" s="45"/>
      <c r="K177" s="2"/>
    </row>
    <row r="178" spans="2:11" x14ac:dyDescent="0.25">
      <c r="B178" s="45">
        <v>167</v>
      </c>
      <c r="C178" s="45" t="s">
        <v>476</v>
      </c>
      <c r="D178" s="45" t="s">
        <v>180</v>
      </c>
      <c r="E178" s="60">
        <v>600000</v>
      </c>
      <c r="F178" s="72" t="s">
        <v>180</v>
      </c>
      <c r="G178" s="45" t="s">
        <v>33</v>
      </c>
      <c r="H178" s="45">
        <v>3</v>
      </c>
      <c r="I178" s="45"/>
      <c r="J178" s="45"/>
      <c r="K178" s="2"/>
    </row>
    <row r="179" spans="2:11" x14ac:dyDescent="0.25">
      <c r="B179" s="45">
        <v>168</v>
      </c>
      <c r="C179" s="45" t="s">
        <v>476</v>
      </c>
      <c r="D179" s="45" t="s">
        <v>186</v>
      </c>
      <c r="E179" s="60">
        <v>300000</v>
      </c>
      <c r="F179" s="73" t="s">
        <v>186</v>
      </c>
      <c r="G179" s="45" t="s">
        <v>34</v>
      </c>
      <c r="H179" s="45">
        <v>2</v>
      </c>
      <c r="I179" s="45"/>
      <c r="J179" s="45"/>
      <c r="K179" s="2"/>
    </row>
    <row r="180" spans="2:11" x14ac:dyDescent="0.25">
      <c r="B180" s="45">
        <v>169</v>
      </c>
      <c r="C180" s="45" t="s">
        <v>476</v>
      </c>
      <c r="D180" s="45" t="s">
        <v>462</v>
      </c>
      <c r="E180" s="60">
        <v>300000</v>
      </c>
      <c r="F180" s="69" t="s">
        <v>214</v>
      </c>
      <c r="G180" s="45" t="s">
        <v>34</v>
      </c>
      <c r="H180" s="45">
        <v>2</v>
      </c>
      <c r="I180" s="45"/>
      <c r="J180" s="45"/>
      <c r="K180" s="2"/>
    </row>
    <row r="181" spans="2:11" x14ac:dyDescent="0.25">
      <c r="B181" s="45">
        <v>170</v>
      </c>
      <c r="C181" s="45" t="s">
        <v>476</v>
      </c>
      <c r="D181" s="45" t="s">
        <v>496</v>
      </c>
      <c r="E181" s="60">
        <v>330000</v>
      </c>
      <c r="F181" s="72" t="s">
        <v>185</v>
      </c>
      <c r="G181" s="45" t="s">
        <v>35</v>
      </c>
      <c r="H181" s="45">
        <v>3</v>
      </c>
      <c r="I181" s="45"/>
      <c r="J181" s="45"/>
      <c r="K181" s="2"/>
    </row>
    <row r="182" spans="2:11" x14ac:dyDescent="0.25">
      <c r="B182" s="45">
        <v>171</v>
      </c>
      <c r="C182" s="45" t="s">
        <v>476</v>
      </c>
      <c r="D182" s="45" t="s">
        <v>495</v>
      </c>
      <c r="E182" s="60">
        <v>300000</v>
      </c>
      <c r="F182" s="69" t="s">
        <v>686</v>
      </c>
      <c r="G182" s="45" t="s">
        <v>34</v>
      </c>
      <c r="H182" s="45">
        <v>2</v>
      </c>
      <c r="I182" s="45"/>
      <c r="J182" s="45"/>
      <c r="K182" s="2"/>
    </row>
    <row r="183" spans="2:11" x14ac:dyDescent="0.25">
      <c r="B183" s="45">
        <v>172</v>
      </c>
      <c r="C183" s="45" t="s">
        <v>476</v>
      </c>
      <c r="D183" s="45" t="s">
        <v>46</v>
      </c>
      <c r="E183" s="60">
        <v>150000</v>
      </c>
      <c r="F183" s="69"/>
      <c r="G183" s="45" t="s">
        <v>34</v>
      </c>
      <c r="H183" s="45">
        <v>1</v>
      </c>
      <c r="I183" s="45"/>
      <c r="J183" s="45"/>
      <c r="K183" s="2"/>
    </row>
    <row r="184" spans="2:11" x14ac:dyDescent="0.25">
      <c r="B184" s="45">
        <v>173</v>
      </c>
      <c r="C184" s="45" t="s">
        <v>476</v>
      </c>
      <c r="D184" s="45" t="s">
        <v>68</v>
      </c>
      <c r="E184" s="60">
        <v>800000</v>
      </c>
      <c r="F184" s="72" t="s">
        <v>189</v>
      </c>
      <c r="G184" s="45" t="s">
        <v>33</v>
      </c>
      <c r="H184" s="45">
        <v>4</v>
      </c>
      <c r="I184" s="45"/>
      <c r="J184" s="45"/>
      <c r="K184" s="2"/>
    </row>
    <row r="185" spans="2:11" x14ac:dyDescent="0.25">
      <c r="B185" s="45">
        <v>174</v>
      </c>
      <c r="C185" s="45" t="s">
        <v>476</v>
      </c>
      <c r="D185" s="45" t="s">
        <v>494</v>
      </c>
      <c r="E185" s="60">
        <v>150000</v>
      </c>
      <c r="F185" s="69"/>
      <c r="G185" s="45" t="s">
        <v>34</v>
      </c>
      <c r="H185" s="45">
        <v>1</v>
      </c>
      <c r="I185" s="45"/>
      <c r="J185" s="45"/>
      <c r="K185" s="2"/>
    </row>
    <row r="186" spans="2:11" ht="25.5" x14ac:dyDescent="0.25">
      <c r="B186" s="45">
        <v>175</v>
      </c>
      <c r="C186" s="45" t="s">
        <v>476</v>
      </c>
      <c r="D186" s="45" t="s">
        <v>184</v>
      </c>
      <c r="E186" s="60">
        <v>150000</v>
      </c>
      <c r="F186" s="73" t="s">
        <v>184</v>
      </c>
      <c r="G186" s="45" t="s">
        <v>34</v>
      </c>
      <c r="H186" s="45">
        <v>1</v>
      </c>
      <c r="I186" s="45"/>
      <c r="J186" s="45"/>
      <c r="K186" s="2"/>
    </row>
    <row r="187" spans="2:11" x14ac:dyDescent="0.25">
      <c r="B187" s="45">
        <v>176</v>
      </c>
      <c r="C187" s="45" t="s">
        <v>476</v>
      </c>
      <c r="D187" s="62" t="s">
        <v>493</v>
      </c>
      <c r="E187" s="60">
        <v>150000</v>
      </c>
      <c r="F187" s="69"/>
      <c r="G187" s="45" t="s">
        <v>34</v>
      </c>
      <c r="H187" s="45">
        <v>1</v>
      </c>
      <c r="I187" s="45"/>
      <c r="J187" s="45"/>
      <c r="K187" s="2"/>
    </row>
    <row r="188" spans="2:11" x14ac:dyDescent="0.25">
      <c r="B188" s="45">
        <v>177</v>
      </c>
      <c r="C188" s="45" t="s">
        <v>476</v>
      </c>
      <c r="D188" s="45" t="s">
        <v>492</v>
      </c>
      <c r="E188" s="60">
        <v>150000</v>
      </c>
      <c r="F188" s="69" t="s">
        <v>687</v>
      </c>
      <c r="G188" s="45" t="s">
        <v>34</v>
      </c>
      <c r="H188" s="45">
        <v>1</v>
      </c>
      <c r="I188" s="45"/>
      <c r="J188" s="45"/>
      <c r="K188" s="2"/>
    </row>
    <row r="189" spans="2:11" x14ac:dyDescent="0.25">
      <c r="B189" s="45">
        <v>178</v>
      </c>
      <c r="C189" s="45" t="s">
        <v>476</v>
      </c>
      <c r="D189" s="45" t="s">
        <v>491</v>
      </c>
      <c r="E189" s="60">
        <v>150000</v>
      </c>
      <c r="F189" s="69" t="s">
        <v>491</v>
      </c>
      <c r="G189" s="45" t="s">
        <v>34</v>
      </c>
      <c r="H189" s="45">
        <v>1</v>
      </c>
      <c r="I189" s="45"/>
      <c r="J189" s="45"/>
      <c r="K189" s="2"/>
    </row>
    <row r="190" spans="2:11" x14ac:dyDescent="0.25">
      <c r="B190" s="45">
        <v>179</v>
      </c>
      <c r="C190" s="45" t="s">
        <v>476</v>
      </c>
      <c r="D190" s="45" t="s">
        <v>490</v>
      </c>
      <c r="E190" s="60">
        <v>150000</v>
      </c>
      <c r="F190" s="72" t="s">
        <v>191</v>
      </c>
      <c r="G190" s="45" t="s">
        <v>34</v>
      </c>
      <c r="H190" s="45">
        <v>1</v>
      </c>
      <c r="I190" s="45"/>
      <c r="J190" s="45"/>
      <c r="K190" s="2"/>
    </row>
    <row r="191" spans="2:11" x14ac:dyDescent="0.25">
      <c r="B191" s="45">
        <v>180</v>
      </c>
      <c r="C191" s="45" t="s">
        <v>476</v>
      </c>
      <c r="D191" s="45" t="s">
        <v>194</v>
      </c>
      <c r="E191" s="60">
        <v>450000</v>
      </c>
      <c r="F191" s="73" t="s">
        <v>194</v>
      </c>
      <c r="G191" s="45" t="s">
        <v>34</v>
      </c>
      <c r="H191" s="45">
        <v>3</v>
      </c>
      <c r="I191" s="45"/>
      <c r="J191" s="45"/>
      <c r="K191" s="2"/>
    </row>
    <row r="192" spans="2:11" x14ac:dyDescent="0.25">
      <c r="B192" s="45">
        <v>181</v>
      </c>
      <c r="C192" s="45" t="s">
        <v>476</v>
      </c>
      <c r="D192" s="45" t="s">
        <v>195</v>
      </c>
      <c r="E192" s="60">
        <v>150000</v>
      </c>
      <c r="F192" s="72" t="s">
        <v>195</v>
      </c>
      <c r="G192" s="45" t="s">
        <v>34</v>
      </c>
      <c r="H192" s="45">
        <v>1</v>
      </c>
      <c r="I192" s="45"/>
      <c r="J192" s="45"/>
      <c r="K192" s="2"/>
    </row>
    <row r="193" spans="2:11" x14ac:dyDescent="0.25">
      <c r="B193" s="45">
        <v>182</v>
      </c>
      <c r="C193" s="45" t="s">
        <v>476</v>
      </c>
      <c r="D193" s="45" t="s">
        <v>123</v>
      </c>
      <c r="E193" s="60">
        <v>110000</v>
      </c>
      <c r="F193" s="72" t="s">
        <v>783</v>
      </c>
      <c r="G193" s="45" t="s">
        <v>35</v>
      </c>
      <c r="H193" s="45">
        <v>1</v>
      </c>
      <c r="I193" s="45"/>
      <c r="J193" s="45"/>
      <c r="K193" s="2"/>
    </row>
    <row r="194" spans="2:11" x14ac:dyDescent="0.25">
      <c r="B194" s="45">
        <v>183</v>
      </c>
      <c r="C194" s="45" t="s">
        <v>476</v>
      </c>
      <c r="D194" s="45" t="s">
        <v>791</v>
      </c>
      <c r="E194" s="60">
        <v>150000</v>
      </c>
      <c r="F194" s="73" t="s">
        <v>196</v>
      </c>
      <c r="G194" s="45" t="s">
        <v>34</v>
      </c>
      <c r="H194" s="45">
        <v>1</v>
      </c>
      <c r="I194" s="45"/>
      <c r="J194" s="45"/>
      <c r="K194" s="2"/>
    </row>
    <row r="195" spans="2:11" x14ac:dyDescent="0.25">
      <c r="B195" s="45">
        <v>184</v>
      </c>
      <c r="C195" s="45" t="s">
        <v>476</v>
      </c>
      <c r="D195" s="62" t="s">
        <v>489</v>
      </c>
      <c r="E195" s="60">
        <v>110000</v>
      </c>
      <c r="F195" s="69" t="s">
        <v>790</v>
      </c>
      <c r="G195" s="45" t="s">
        <v>310</v>
      </c>
      <c r="H195" s="45">
        <v>1</v>
      </c>
      <c r="I195" s="45"/>
      <c r="J195" s="45"/>
      <c r="K195" s="2"/>
    </row>
    <row r="196" spans="2:11" x14ac:dyDescent="0.25">
      <c r="B196" s="45"/>
      <c r="C196" s="45"/>
      <c r="D196" s="62" t="s">
        <v>788</v>
      </c>
      <c r="E196" s="60">
        <v>300000</v>
      </c>
      <c r="F196" s="69" t="s">
        <v>789</v>
      </c>
      <c r="G196" s="45" t="s">
        <v>34</v>
      </c>
      <c r="H196" s="45">
        <v>2</v>
      </c>
      <c r="I196" s="45"/>
      <c r="J196" s="45"/>
      <c r="K196" s="2"/>
    </row>
    <row r="197" spans="2:11" x14ac:dyDescent="0.25">
      <c r="B197" s="45">
        <v>185</v>
      </c>
      <c r="C197" s="45" t="s">
        <v>476</v>
      </c>
      <c r="D197" s="45" t="s">
        <v>488</v>
      </c>
      <c r="E197" s="60">
        <v>150000</v>
      </c>
      <c r="F197" s="69" t="s">
        <v>787</v>
      </c>
      <c r="G197" s="45" t="s">
        <v>34</v>
      </c>
      <c r="H197" s="45">
        <v>2</v>
      </c>
      <c r="I197" s="45"/>
      <c r="J197" s="45"/>
      <c r="K197" s="2"/>
    </row>
    <row r="198" spans="2:11" ht="30" x14ac:dyDescent="0.25">
      <c r="B198" s="45">
        <v>186</v>
      </c>
      <c r="C198" s="45" t="s">
        <v>476</v>
      </c>
      <c r="D198" s="45" t="s">
        <v>487</v>
      </c>
      <c r="E198" s="60">
        <v>110000</v>
      </c>
      <c r="F198" s="69" t="s">
        <v>487</v>
      </c>
      <c r="G198" s="45" t="s">
        <v>310</v>
      </c>
      <c r="H198" s="45">
        <v>1</v>
      </c>
      <c r="I198" s="45"/>
      <c r="J198" s="45"/>
      <c r="K198" s="2"/>
    </row>
    <row r="199" spans="2:11" ht="30" x14ac:dyDescent="0.25">
      <c r="B199" s="45">
        <v>187</v>
      </c>
      <c r="C199" s="45" t="s">
        <v>476</v>
      </c>
      <c r="D199" s="45" t="s">
        <v>486</v>
      </c>
      <c r="E199" s="60">
        <v>150000</v>
      </c>
      <c r="F199" s="69" t="s">
        <v>486</v>
      </c>
      <c r="G199" s="45" t="s">
        <v>34</v>
      </c>
      <c r="H199" s="45"/>
      <c r="I199" s="45"/>
      <c r="J199" s="45"/>
      <c r="K199" s="2"/>
    </row>
    <row r="200" spans="2:11" x14ac:dyDescent="0.25">
      <c r="B200" s="45">
        <v>188</v>
      </c>
      <c r="C200" s="45" t="s">
        <v>476</v>
      </c>
      <c r="D200" s="45" t="s">
        <v>485</v>
      </c>
      <c r="E200" s="60">
        <v>600000</v>
      </c>
      <c r="F200" s="69" t="s">
        <v>673</v>
      </c>
      <c r="G200" s="45" t="s">
        <v>33</v>
      </c>
      <c r="H200" s="45">
        <v>3</v>
      </c>
      <c r="I200" s="45"/>
      <c r="J200" s="45"/>
      <c r="K200" s="2"/>
    </row>
    <row r="201" spans="2:11" ht="30" x14ac:dyDescent="0.25">
      <c r="B201" s="45">
        <v>189</v>
      </c>
      <c r="C201" s="45" t="s">
        <v>476</v>
      </c>
      <c r="D201" s="45" t="s">
        <v>484</v>
      </c>
      <c r="E201" s="60">
        <v>110000</v>
      </c>
      <c r="F201" s="69" t="s">
        <v>786</v>
      </c>
      <c r="G201" s="45" t="s">
        <v>310</v>
      </c>
      <c r="H201" s="45">
        <v>1</v>
      </c>
      <c r="I201" s="45"/>
      <c r="J201" s="45"/>
      <c r="K201" s="2"/>
    </row>
    <row r="202" spans="2:11" x14ac:dyDescent="0.25">
      <c r="B202" s="45">
        <v>190</v>
      </c>
      <c r="C202" s="45" t="s">
        <v>476</v>
      </c>
      <c r="D202" s="45" t="s">
        <v>483</v>
      </c>
      <c r="E202" s="60">
        <v>300000</v>
      </c>
      <c r="F202" s="69" t="s">
        <v>785</v>
      </c>
      <c r="G202" s="45" t="s">
        <v>34</v>
      </c>
      <c r="H202" s="45">
        <v>2</v>
      </c>
      <c r="I202" s="45"/>
      <c r="J202" s="45"/>
      <c r="K202" s="2"/>
    </row>
    <row r="203" spans="2:11" x14ac:dyDescent="0.25">
      <c r="B203" s="45">
        <v>191</v>
      </c>
      <c r="C203" s="45" t="s">
        <v>476</v>
      </c>
      <c r="D203" s="45" t="s">
        <v>474</v>
      </c>
      <c r="E203" s="60">
        <v>300000</v>
      </c>
      <c r="F203" s="69" t="s">
        <v>474</v>
      </c>
      <c r="G203" s="45" t="s">
        <v>34</v>
      </c>
      <c r="H203" s="45">
        <v>2</v>
      </c>
      <c r="I203" s="45"/>
      <c r="J203" s="45"/>
      <c r="K203" s="2"/>
    </row>
    <row r="204" spans="2:11" ht="30" x14ac:dyDescent="0.25">
      <c r="B204" s="45">
        <v>192</v>
      </c>
      <c r="C204" s="45" t="s">
        <v>476</v>
      </c>
      <c r="D204" s="45" t="s">
        <v>482</v>
      </c>
      <c r="E204" s="60">
        <v>300000</v>
      </c>
      <c r="F204" s="69" t="s">
        <v>784</v>
      </c>
      <c r="G204" s="45" t="s">
        <v>34</v>
      </c>
      <c r="H204" s="45">
        <v>2</v>
      </c>
      <c r="I204" s="45"/>
      <c r="J204" s="45"/>
      <c r="K204" s="2"/>
    </row>
    <row r="205" spans="2:11" ht="30" x14ac:dyDescent="0.25">
      <c r="B205" s="45">
        <v>193</v>
      </c>
      <c r="C205" s="45" t="s">
        <v>476</v>
      </c>
      <c r="D205" s="45" t="s">
        <v>479</v>
      </c>
      <c r="E205" s="60">
        <v>300000</v>
      </c>
      <c r="F205" s="69" t="s">
        <v>479</v>
      </c>
      <c r="G205" s="45" t="s">
        <v>34</v>
      </c>
      <c r="H205" s="45">
        <v>2</v>
      </c>
      <c r="I205" s="45"/>
      <c r="J205" s="45"/>
      <c r="K205" s="2"/>
    </row>
    <row r="206" spans="2:11" ht="30" x14ac:dyDescent="0.25">
      <c r="B206" s="45">
        <v>194</v>
      </c>
      <c r="C206" s="45" t="s">
        <v>476</v>
      </c>
      <c r="D206" s="45" t="s">
        <v>478</v>
      </c>
      <c r="E206" s="60">
        <v>110000</v>
      </c>
      <c r="F206" s="69" t="s">
        <v>478</v>
      </c>
      <c r="G206" s="45" t="s">
        <v>34</v>
      </c>
      <c r="H206" s="45">
        <v>1</v>
      </c>
      <c r="I206" s="45"/>
      <c r="J206" s="45" t="s">
        <v>480</v>
      </c>
      <c r="K206" s="2"/>
    </row>
    <row r="207" spans="2:11" x14ac:dyDescent="0.25">
      <c r="B207" s="45">
        <v>195</v>
      </c>
      <c r="C207" s="45" t="s">
        <v>476</v>
      </c>
      <c r="D207" s="45" t="s">
        <v>477</v>
      </c>
      <c r="E207" s="60">
        <v>150000</v>
      </c>
      <c r="F207" s="69" t="s">
        <v>477</v>
      </c>
      <c r="G207" s="45" t="s">
        <v>34</v>
      </c>
      <c r="H207" s="45">
        <v>1</v>
      </c>
      <c r="I207" s="45"/>
      <c r="J207" s="45"/>
      <c r="K207" s="2"/>
    </row>
    <row r="208" spans="2:11" x14ac:dyDescent="0.25">
      <c r="B208" s="45">
        <v>196</v>
      </c>
      <c r="C208" s="45" t="s">
        <v>476</v>
      </c>
      <c r="D208" s="45" t="s">
        <v>477</v>
      </c>
      <c r="E208" s="60">
        <v>150000</v>
      </c>
      <c r="F208" s="69" t="s">
        <v>782</v>
      </c>
      <c r="G208" s="45" t="s">
        <v>34</v>
      </c>
      <c r="H208" s="45">
        <v>1</v>
      </c>
      <c r="I208" s="45"/>
      <c r="J208" s="45"/>
      <c r="K208" s="2"/>
    </row>
    <row r="209" spans="2:11" x14ac:dyDescent="0.25">
      <c r="B209" s="45">
        <v>197</v>
      </c>
      <c r="C209" s="45" t="s">
        <v>476</v>
      </c>
      <c r="D209" s="45" t="s">
        <v>215</v>
      </c>
      <c r="E209" s="60">
        <v>110000</v>
      </c>
      <c r="F209" s="69" t="s">
        <v>781</v>
      </c>
      <c r="G209" s="45" t="s">
        <v>310</v>
      </c>
      <c r="H209" s="45">
        <v>1</v>
      </c>
      <c r="I209" s="45"/>
      <c r="J209" s="45"/>
      <c r="K209" s="2"/>
    </row>
    <row r="210" spans="2:11" x14ac:dyDescent="0.25">
      <c r="B210" s="45">
        <v>198</v>
      </c>
      <c r="C210" s="45" t="s">
        <v>476</v>
      </c>
      <c r="D210" s="45" t="s">
        <v>213</v>
      </c>
      <c r="E210" s="60">
        <v>110000</v>
      </c>
      <c r="F210" s="69" t="s">
        <v>213</v>
      </c>
      <c r="G210" s="45" t="s">
        <v>310</v>
      </c>
      <c r="H210" s="45">
        <v>1</v>
      </c>
      <c r="I210" s="45"/>
      <c r="J210" s="45"/>
      <c r="K210" s="2"/>
    </row>
    <row r="211" spans="2:11" x14ac:dyDescent="0.25">
      <c r="B211" s="45">
        <v>199</v>
      </c>
      <c r="C211" s="45" t="s">
        <v>454</v>
      </c>
      <c r="D211" s="45" t="s">
        <v>475</v>
      </c>
      <c r="E211" s="60">
        <v>150000</v>
      </c>
      <c r="F211" s="69" t="s">
        <v>780</v>
      </c>
      <c r="G211" s="45" t="s">
        <v>34</v>
      </c>
      <c r="H211" s="45">
        <v>1</v>
      </c>
      <c r="I211" s="45"/>
      <c r="J211" s="45"/>
      <c r="K211" s="2"/>
    </row>
    <row r="212" spans="2:11" x14ac:dyDescent="0.25">
      <c r="B212" s="45">
        <v>200</v>
      </c>
      <c r="C212" s="45" t="s">
        <v>454</v>
      </c>
      <c r="D212" s="45" t="s">
        <v>474</v>
      </c>
      <c r="E212" s="60">
        <v>100000</v>
      </c>
      <c r="F212" s="69"/>
      <c r="G212" s="45"/>
      <c r="H212" s="45"/>
      <c r="I212" s="45"/>
      <c r="J212" s="45" t="s">
        <v>481</v>
      </c>
      <c r="K212" s="2"/>
    </row>
    <row r="213" spans="2:11" ht="30" x14ac:dyDescent="0.25">
      <c r="B213" s="45">
        <v>201</v>
      </c>
      <c r="C213" s="45" t="s">
        <v>454</v>
      </c>
      <c r="D213" s="45" t="s">
        <v>473</v>
      </c>
      <c r="E213" s="60">
        <v>300000</v>
      </c>
      <c r="F213" s="69" t="s">
        <v>473</v>
      </c>
      <c r="G213" s="45" t="s">
        <v>34</v>
      </c>
      <c r="H213" s="45">
        <v>2</v>
      </c>
      <c r="I213" s="45"/>
      <c r="J213" s="45"/>
      <c r="K213" s="2"/>
    </row>
    <row r="214" spans="2:11" x14ac:dyDescent="0.25">
      <c r="B214" s="45">
        <v>202</v>
      </c>
      <c r="C214" s="45" t="s">
        <v>454</v>
      </c>
      <c r="D214" s="45" t="s">
        <v>472</v>
      </c>
      <c r="E214" s="60">
        <v>110000</v>
      </c>
      <c r="F214" s="69" t="s">
        <v>779</v>
      </c>
      <c r="G214" s="45" t="s">
        <v>35</v>
      </c>
      <c r="H214" s="45">
        <v>1</v>
      </c>
      <c r="I214" s="45"/>
      <c r="J214" s="45"/>
      <c r="K214" s="2"/>
    </row>
    <row r="215" spans="2:11" x14ac:dyDescent="0.25">
      <c r="B215" s="45">
        <v>203</v>
      </c>
      <c r="C215" s="45" t="s">
        <v>454</v>
      </c>
      <c r="D215" s="45" t="s">
        <v>471</v>
      </c>
      <c r="E215" s="60">
        <v>150000</v>
      </c>
      <c r="F215" s="69" t="s">
        <v>471</v>
      </c>
      <c r="G215" s="45" t="s">
        <v>34</v>
      </c>
      <c r="H215" s="45">
        <v>1</v>
      </c>
      <c r="I215" s="45"/>
      <c r="J215" s="45"/>
      <c r="K215" s="2"/>
    </row>
    <row r="216" spans="2:11" x14ac:dyDescent="0.25">
      <c r="B216" s="45">
        <v>204</v>
      </c>
      <c r="C216" s="45" t="s">
        <v>454</v>
      </c>
      <c r="D216" s="45" t="s">
        <v>78</v>
      </c>
      <c r="E216" s="60">
        <v>660000</v>
      </c>
      <c r="F216" s="69" t="s">
        <v>778</v>
      </c>
      <c r="G216" s="45" t="s">
        <v>35</v>
      </c>
      <c r="H216" s="45">
        <v>6</v>
      </c>
      <c r="I216" s="45"/>
      <c r="J216" s="45"/>
      <c r="K216" s="2"/>
    </row>
    <row r="217" spans="2:11" x14ac:dyDescent="0.25">
      <c r="B217" s="45">
        <v>205</v>
      </c>
      <c r="C217" s="45" t="s">
        <v>454</v>
      </c>
      <c r="D217" s="45" t="s">
        <v>220</v>
      </c>
      <c r="E217" s="60">
        <v>150000</v>
      </c>
      <c r="F217" s="69" t="s">
        <v>220</v>
      </c>
      <c r="G217" s="45" t="s">
        <v>34</v>
      </c>
      <c r="H217" s="45">
        <v>1</v>
      </c>
      <c r="I217" s="45"/>
      <c r="J217" s="45"/>
      <c r="K217" s="2"/>
    </row>
    <row r="218" spans="2:11" x14ac:dyDescent="0.25">
      <c r="B218" s="45">
        <v>206</v>
      </c>
      <c r="C218" s="45" t="s">
        <v>454</v>
      </c>
      <c r="D218" s="45" t="s">
        <v>470</v>
      </c>
      <c r="E218" s="60">
        <v>600000</v>
      </c>
      <c r="F218" s="69" t="s">
        <v>776</v>
      </c>
      <c r="G218" s="45" t="s">
        <v>33</v>
      </c>
      <c r="H218" s="45">
        <v>3</v>
      </c>
      <c r="I218" s="45"/>
      <c r="J218" s="45"/>
      <c r="K218" s="2"/>
    </row>
    <row r="219" spans="2:11" x14ac:dyDescent="0.25">
      <c r="B219" s="45">
        <v>207</v>
      </c>
      <c r="C219" s="45" t="s">
        <v>454</v>
      </c>
      <c r="D219" s="45" t="s">
        <v>469</v>
      </c>
      <c r="E219" s="60">
        <v>110000</v>
      </c>
      <c r="F219" s="69" t="s">
        <v>777</v>
      </c>
      <c r="G219" s="45" t="s">
        <v>35</v>
      </c>
      <c r="H219" s="45">
        <v>1</v>
      </c>
      <c r="I219" s="45"/>
      <c r="J219" s="45"/>
      <c r="K219" s="2"/>
    </row>
    <row r="220" spans="2:11" x14ac:dyDescent="0.25">
      <c r="B220" s="45">
        <v>208</v>
      </c>
      <c r="C220" s="45" t="s">
        <v>454</v>
      </c>
      <c r="D220" s="45" t="s">
        <v>223</v>
      </c>
      <c r="E220" s="60">
        <v>300000</v>
      </c>
      <c r="F220" s="69" t="s">
        <v>223</v>
      </c>
      <c r="G220" s="45" t="s">
        <v>34</v>
      </c>
      <c r="H220" s="45">
        <v>2</v>
      </c>
      <c r="I220" s="45"/>
      <c r="J220" s="45"/>
      <c r="K220" s="2"/>
    </row>
    <row r="221" spans="2:11" x14ac:dyDescent="0.25">
      <c r="B221" s="45">
        <v>209</v>
      </c>
      <c r="C221" s="45" t="s">
        <v>454</v>
      </c>
      <c r="D221" s="45" t="s">
        <v>468</v>
      </c>
      <c r="E221" s="60">
        <v>150000</v>
      </c>
      <c r="F221" s="69" t="s">
        <v>224</v>
      </c>
      <c r="G221" s="45" t="s">
        <v>34</v>
      </c>
      <c r="H221" s="45">
        <v>1</v>
      </c>
      <c r="I221" s="45"/>
      <c r="J221" s="45"/>
      <c r="K221" s="2"/>
    </row>
    <row r="222" spans="2:11" ht="30" x14ac:dyDescent="0.25">
      <c r="B222" s="45">
        <v>210</v>
      </c>
      <c r="C222" s="45" t="s">
        <v>454</v>
      </c>
      <c r="D222" s="45" t="s">
        <v>466</v>
      </c>
      <c r="E222" s="60">
        <v>300000</v>
      </c>
      <c r="F222" s="69" t="s">
        <v>467</v>
      </c>
      <c r="G222" s="45" t="s">
        <v>34</v>
      </c>
      <c r="H222" s="45">
        <v>2</v>
      </c>
      <c r="I222" s="45"/>
      <c r="J222" s="45"/>
      <c r="K222" s="2"/>
    </row>
    <row r="223" spans="2:11" x14ac:dyDescent="0.25">
      <c r="B223" s="45">
        <v>211</v>
      </c>
      <c r="C223" s="45" t="s">
        <v>454</v>
      </c>
      <c r="D223" s="45" t="s">
        <v>465</v>
      </c>
      <c r="E223" s="60">
        <v>150000</v>
      </c>
      <c r="F223" s="69" t="s">
        <v>465</v>
      </c>
      <c r="G223" s="45" t="s">
        <v>34</v>
      </c>
      <c r="H223" s="45">
        <v>1</v>
      </c>
      <c r="I223" s="45"/>
      <c r="J223" s="45"/>
      <c r="K223" s="2"/>
    </row>
    <row r="224" spans="2:11" x14ac:dyDescent="0.25">
      <c r="B224" s="45">
        <v>212</v>
      </c>
      <c r="C224" s="45" t="s">
        <v>454</v>
      </c>
      <c r="D224" s="45" t="s">
        <v>464</v>
      </c>
      <c r="E224" s="60">
        <v>150000</v>
      </c>
      <c r="F224" s="69"/>
      <c r="G224" s="45" t="s">
        <v>34</v>
      </c>
      <c r="H224" s="45">
        <v>1</v>
      </c>
      <c r="I224" s="45"/>
      <c r="J224" s="45"/>
      <c r="K224" s="2"/>
    </row>
    <row r="225" spans="2:11" x14ac:dyDescent="0.25">
      <c r="B225" s="45">
        <v>213</v>
      </c>
      <c r="C225" s="45" t="s">
        <v>454</v>
      </c>
      <c r="D225" s="45" t="s">
        <v>228</v>
      </c>
      <c r="E225" s="60">
        <v>150000</v>
      </c>
      <c r="F225" s="69" t="s">
        <v>228</v>
      </c>
      <c r="G225" s="45" t="s">
        <v>34</v>
      </c>
      <c r="H225" s="45">
        <v>1</v>
      </c>
      <c r="I225" s="45"/>
      <c r="J225" s="45"/>
      <c r="K225" s="2"/>
    </row>
    <row r="226" spans="2:11" x14ac:dyDescent="0.25">
      <c r="B226" s="45">
        <v>214</v>
      </c>
      <c r="C226" s="45" t="s">
        <v>454</v>
      </c>
      <c r="D226" s="45" t="s">
        <v>463</v>
      </c>
      <c r="E226" s="60">
        <v>150000</v>
      </c>
      <c r="F226" s="69" t="s">
        <v>775</v>
      </c>
      <c r="G226" s="45" t="s">
        <v>34</v>
      </c>
      <c r="H226" s="45">
        <v>1</v>
      </c>
      <c r="I226" s="45"/>
      <c r="J226" s="45"/>
      <c r="K226" s="2"/>
    </row>
    <row r="227" spans="2:11" x14ac:dyDescent="0.25">
      <c r="B227" s="45">
        <v>215</v>
      </c>
      <c r="C227" s="45" t="s">
        <v>454</v>
      </c>
      <c r="D227" s="45" t="s">
        <v>462</v>
      </c>
      <c r="E227" s="60">
        <v>450000</v>
      </c>
      <c r="F227" s="69" t="s">
        <v>774</v>
      </c>
      <c r="G227" s="45" t="s">
        <v>34</v>
      </c>
      <c r="H227" s="45">
        <v>3</v>
      </c>
      <c r="I227" s="45"/>
      <c r="J227" s="45"/>
      <c r="K227" s="2"/>
    </row>
    <row r="228" spans="2:11" x14ac:dyDescent="0.25">
      <c r="B228" s="45">
        <v>216</v>
      </c>
      <c r="C228" s="45" t="s">
        <v>454</v>
      </c>
      <c r="D228" s="45" t="s">
        <v>461</v>
      </c>
      <c r="E228" s="60">
        <v>150000</v>
      </c>
      <c r="F228" s="66" t="s">
        <v>713</v>
      </c>
      <c r="G228" s="45" t="s">
        <v>34</v>
      </c>
      <c r="H228" s="45">
        <v>1</v>
      </c>
      <c r="I228" s="45"/>
      <c r="J228" s="45"/>
      <c r="K228" s="2"/>
    </row>
    <row r="229" spans="2:11" x14ac:dyDescent="0.25">
      <c r="B229" s="45">
        <v>217</v>
      </c>
      <c r="C229" s="45" t="s">
        <v>454</v>
      </c>
      <c r="D229" s="45" t="s">
        <v>460</v>
      </c>
      <c r="E229" s="60">
        <v>150000</v>
      </c>
      <c r="F229" s="69" t="s">
        <v>460</v>
      </c>
      <c r="G229" s="45" t="s">
        <v>34</v>
      </c>
      <c r="H229" s="45">
        <v>1</v>
      </c>
      <c r="I229" s="45"/>
      <c r="J229" s="45"/>
      <c r="K229" s="2"/>
    </row>
    <row r="230" spans="2:11" ht="30" x14ac:dyDescent="0.25">
      <c r="B230" s="45">
        <v>218</v>
      </c>
      <c r="C230" s="45" t="s">
        <v>454</v>
      </c>
      <c r="D230" s="45" t="s">
        <v>459</v>
      </c>
      <c r="E230" s="60">
        <v>300000</v>
      </c>
      <c r="F230" s="69" t="s">
        <v>459</v>
      </c>
      <c r="G230" s="45" t="s">
        <v>34</v>
      </c>
      <c r="H230" s="45">
        <v>2</v>
      </c>
      <c r="I230" s="45"/>
      <c r="J230" s="45"/>
      <c r="K230" s="2"/>
    </row>
    <row r="231" spans="2:11" x14ac:dyDescent="0.25">
      <c r="B231" s="45">
        <v>219</v>
      </c>
      <c r="C231" s="45" t="s">
        <v>454</v>
      </c>
      <c r="D231" s="45" t="s">
        <v>235</v>
      </c>
      <c r="E231" s="60">
        <v>150000</v>
      </c>
      <c r="F231" s="69" t="s">
        <v>235</v>
      </c>
      <c r="G231" s="45" t="s">
        <v>34</v>
      </c>
      <c r="H231" s="45">
        <v>1</v>
      </c>
      <c r="I231" s="45"/>
      <c r="J231" s="45"/>
      <c r="K231" s="2"/>
    </row>
    <row r="232" spans="2:11" x14ac:dyDescent="0.25">
      <c r="B232" s="45">
        <v>220</v>
      </c>
      <c r="C232" s="45" t="s">
        <v>454</v>
      </c>
      <c r="D232" s="45" t="s">
        <v>458</v>
      </c>
      <c r="E232" s="60">
        <v>150000</v>
      </c>
      <c r="F232" s="69" t="s">
        <v>458</v>
      </c>
      <c r="G232" s="45" t="s">
        <v>34</v>
      </c>
      <c r="H232" s="45">
        <v>1</v>
      </c>
      <c r="I232" s="45"/>
      <c r="J232" s="45"/>
      <c r="K232" s="2"/>
    </row>
    <row r="233" spans="2:11" x14ac:dyDescent="0.25">
      <c r="B233" s="45">
        <v>221</v>
      </c>
      <c r="C233" s="45" t="s">
        <v>454</v>
      </c>
      <c r="D233" s="62" t="s">
        <v>457</v>
      </c>
      <c r="E233" s="60">
        <v>300000</v>
      </c>
      <c r="F233" s="69" t="s">
        <v>771</v>
      </c>
      <c r="G233" s="45" t="s">
        <v>34</v>
      </c>
      <c r="H233" s="45">
        <v>2</v>
      </c>
      <c r="I233" s="45"/>
      <c r="J233" s="45"/>
      <c r="K233" s="2"/>
    </row>
    <row r="234" spans="2:11" x14ac:dyDescent="0.25">
      <c r="B234" s="45">
        <v>222</v>
      </c>
      <c r="C234" s="45" t="s">
        <v>454</v>
      </c>
      <c r="D234" s="45" t="s">
        <v>456</v>
      </c>
      <c r="E234" s="60">
        <v>600000</v>
      </c>
      <c r="F234" s="69"/>
      <c r="G234" s="45" t="s">
        <v>33</v>
      </c>
      <c r="H234" s="45">
        <v>2</v>
      </c>
      <c r="I234" s="45"/>
      <c r="J234" s="45"/>
      <c r="K234" s="2"/>
    </row>
    <row r="235" spans="2:11" x14ac:dyDescent="0.25">
      <c r="B235" s="45">
        <v>223</v>
      </c>
      <c r="C235" s="45" t="s">
        <v>454</v>
      </c>
      <c r="D235" s="45" t="s">
        <v>455</v>
      </c>
      <c r="E235" s="60">
        <v>300000</v>
      </c>
      <c r="F235" s="69"/>
      <c r="G235" s="45" t="s">
        <v>34</v>
      </c>
      <c r="H235" s="45">
        <v>2</v>
      </c>
      <c r="I235" s="45"/>
      <c r="J235" s="45"/>
      <c r="K235" s="2"/>
    </row>
    <row r="236" spans="2:11" x14ac:dyDescent="0.25">
      <c r="B236" s="45">
        <v>224</v>
      </c>
      <c r="C236" s="45" t="s">
        <v>432</v>
      </c>
      <c r="D236" s="45" t="s">
        <v>765</v>
      </c>
      <c r="E236" s="60">
        <v>150000</v>
      </c>
      <c r="F236" s="69" t="s">
        <v>766</v>
      </c>
      <c r="G236" s="45" t="s">
        <v>34</v>
      </c>
      <c r="H236" s="45">
        <v>1</v>
      </c>
      <c r="I236" s="45"/>
      <c r="J236" s="45"/>
      <c r="K236" s="2"/>
    </row>
    <row r="237" spans="2:11" x14ac:dyDescent="0.25">
      <c r="B237" s="45">
        <v>225</v>
      </c>
      <c r="C237" s="45" t="s">
        <v>432</v>
      </c>
      <c r="D237" s="45" t="s">
        <v>245</v>
      </c>
      <c r="E237" s="60">
        <v>300000</v>
      </c>
      <c r="F237" s="69" t="s">
        <v>245</v>
      </c>
      <c r="G237" s="45" t="s">
        <v>34</v>
      </c>
      <c r="H237" s="45">
        <v>2</v>
      </c>
      <c r="I237" s="45"/>
      <c r="J237" s="45"/>
      <c r="K237" s="2"/>
    </row>
    <row r="238" spans="2:11" x14ac:dyDescent="0.25">
      <c r="B238" s="45">
        <v>226</v>
      </c>
      <c r="C238" s="45" t="s">
        <v>432</v>
      </c>
      <c r="D238" s="45" t="s">
        <v>241</v>
      </c>
      <c r="E238" s="60">
        <v>150000</v>
      </c>
      <c r="F238" s="69" t="s">
        <v>767</v>
      </c>
      <c r="G238" s="45" t="s">
        <v>34</v>
      </c>
      <c r="H238" s="45">
        <v>1</v>
      </c>
      <c r="I238" s="45"/>
      <c r="J238" s="45"/>
      <c r="K238" s="2"/>
    </row>
    <row r="239" spans="2:11" x14ac:dyDescent="0.25">
      <c r="B239" s="45">
        <v>227</v>
      </c>
      <c r="C239" s="45" t="s">
        <v>432</v>
      </c>
      <c r="D239" s="45" t="s">
        <v>453</v>
      </c>
      <c r="E239" s="60">
        <v>150000</v>
      </c>
      <c r="F239" s="69" t="s">
        <v>242</v>
      </c>
      <c r="G239" s="45" t="s">
        <v>34</v>
      </c>
      <c r="H239" s="45">
        <v>1</v>
      </c>
      <c r="I239" s="45"/>
      <c r="J239" s="45"/>
      <c r="K239" s="2"/>
    </row>
    <row r="240" spans="2:11" ht="30" x14ac:dyDescent="0.25">
      <c r="B240" s="45">
        <v>228</v>
      </c>
      <c r="C240" s="45" t="s">
        <v>432</v>
      </c>
      <c r="D240" s="45" t="s">
        <v>452</v>
      </c>
      <c r="E240" s="60">
        <v>150000</v>
      </c>
      <c r="F240" s="69" t="s">
        <v>452</v>
      </c>
      <c r="G240" s="45" t="s">
        <v>34</v>
      </c>
      <c r="H240" s="45">
        <v>1</v>
      </c>
      <c r="I240" s="45"/>
      <c r="J240" s="45"/>
      <c r="K240" s="2"/>
    </row>
    <row r="241" spans="2:11" x14ac:dyDescent="0.25">
      <c r="B241" s="45">
        <v>229</v>
      </c>
      <c r="C241" s="45" t="s">
        <v>432</v>
      </c>
      <c r="D241" s="45" t="s">
        <v>451</v>
      </c>
      <c r="E241" s="60">
        <v>300000</v>
      </c>
      <c r="F241" s="69" t="s">
        <v>768</v>
      </c>
      <c r="G241" s="45" t="s">
        <v>34</v>
      </c>
      <c r="H241" s="45">
        <v>2</v>
      </c>
      <c r="I241" s="45"/>
      <c r="J241" s="45"/>
      <c r="K241" s="2"/>
    </row>
    <row r="242" spans="2:11" x14ac:dyDescent="0.25">
      <c r="B242" s="45">
        <v>230</v>
      </c>
      <c r="C242" s="45" t="s">
        <v>432</v>
      </c>
      <c r="D242" s="45" t="s">
        <v>450</v>
      </c>
      <c r="E242" s="60">
        <v>600000</v>
      </c>
      <c r="F242" s="69"/>
      <c r="G242" s="45" t="s">
        <v>33</v>
      </c>
      <c r="H242" s="45">
        <v>3</v>
      </c>
      <c r="I242" s="45"/>
      <c r="J242" s="45"/>
      <c r="K242" s="2"/>
    </row>
    <row r="243" spans="2:11" x14ac:dyDescent="0.25">
      <c r="B243" s="45">
        <v>231</v>
      </c>
      <c r="C243" s="45" t="s">
        <v>432</v>
      </c>
      <c r="D243" s="45" t="s">
        <v>449</v>
      </c>
      <c r="E243" s="60">
        <v>150000</v>
      </c>
      <c r="F243" s="69" t="s">
        <v>449</v>
      </c>
      <c r="G243" s="45" t="s">
        <v>34</v>
      </c>
      <c r="H243" s="45">
        <v>1</v>
      </c>
      <c r="I243" s="45"/>
      <c r="J243" s="45"/>
      <c r="K243" s="2"/>
    </row>
    <row r="244" spans="2:11" x14ac:dyDescent="0.25">
      <c r="B244" s="45">
        <v>232</v>
      </c>
      <c r="C244" s="45" t="s">
        <v>432</v>
      </c>
      <c r="D244" s="45" t="s">
        <v>448</v>
      </c>
      <c r="E244" s="60">
        <v>150000</v>
      </c>
      <c r="F244" s="69" t="s">
        <v>448</v>
      </c>
      <c r="G244" s="45" t="s">
        <v>34</v>
      </c>
      <c r="H244" s="45">
        <v>1</v>
      </c>
      <c r="I244" s="45"/>
      <c r="J244" s="45"/>
      <c r="K244" s="2"/>
    </row>
    <row r="245" spans="2:11" ht="30" x14ac:dyDescent="0.25">
      <c r="B245" s="45">
        <v>233</v>
      </c>
      <c r="C245" s="45" t="s">
        <v>432</v>
      </c>
      <c r="D245" s="45" t="s">
        <v>447</v>
      </c>
      <c r="E245" s="60">
        <v>300000</v>
      </c>
      <c r="F245" s="69" t="s">
        <v>769</v>
      </c>
      <c r="G245" s="45" t="s">
        <v>34</v>
      </c>
      <c r="H245" s="45">
        <v>2</v>
      </c>
      <c r="I245" s="45"/>
      <c r="J245" s="45"/>
      <c r="K245" s="2"/>
    </row>
    <row r="246" spans="2:11" x14ac:dyDescent="0.25">
      <c r="B246" s="45">
        <v>234</v>
      </c>
      <c r="C246" s="45" t="s">
        <v>432</v>
      </c>
      <c r="D246" s="45" t="s">
        <v>446</v>
      </c>
      <c r="E246" s="60">
        <v>150000</v>
      </c>
      <c r="F246" s="69" t="s">
        <v>446</v>
      </c>
      <c r="G246" s="45" t="s">
        <v>34</v>
      </c>
      <c r="H246" s="45">
        <v>1</v>
      </c>
      <c r="I246" s="45"/>
      <c r="J246" s="45"/>
      <c r="K246" s="2"/>
    </row>
    <row r="247" spans="2:11" x14ac:dyDescent="0.25">
      <c r="B247" s="45">
        <v>235</v>
      </c>
      <c r="C247" s="45" t="s">
        <v>432</v>
      </c>
      <c r="D247" s="45" t="s">
        <v>445</v>
      </c>
      <c r="E247" s="60">
        <v>110000</v>
      </c>
      <c r="F247" s="69" t="s">
        <v>445</v>
      </c>
      <c r="G247" s="45" t="s">
        <v>310</v>
      </c>
      <c r="H247" s="45">
        <v>1</v>
      </c>
      <c r="I247" s="45"/>
      <c r="J247" s="45"/>
      <c r="K247" s="2"/>
    </row>
    <row r="248" spans="2:11" x14ac:dyDescent="0.25">
      <c r="B248" s="45">
        <v>236</v>
      </c>
      <c r="C248" s="45" t="s">
        <v>432</v>
      </c>
      <c r="D248" s="45" t="s">
        <v>444</v>
      </c>
      <c r="E248" s="60">
        <v>150000</v>
      </c>
      <c r="F248" s="69"/>
      <c r="G248" s="45" t="s">
        <v>34</v>
      </c>
      <c r="H248" s="45">
        <v>1</v>
      </c>
      <c r="I248" s="45"/>
      <c r="J248" s="45"/>
      <c r="K248" s="2"/>
    </row>
    <row r="249" spans="2:11" ht="30" x14ac:dyDescent="0.25">
      <c r="B249" s="45">
        <v>237</v>
      </c>
      <c r="C249" s="45" t="s">
        <v>432</v>
      </c>
      <c r="D249" s="62" t="s">
        <v>372</v>
      </c>
      <c r="E249" s="60">
        <v>150000</v>
      </c>
      <c r="F249" s="69" t="s">
        <v>772</v>
      </c>
      <c r="G249" s="45" t="s">
        <v>34</v>
      </c>
      <c r="H249" s="45">
        <v>1</v>
      </c>
      <c r="I249" s="45"/>
      <c r="J249" s="45"/>
      <c r="K249" s="2"/>
    </row>
    <row r="250" spans="2:11" x14ac:dyDescent="0.25">
      <c r="B250" s="45">
        <v>238</v>
      </c>
      <c r="C250" s="45" t="s">
        <v>432</v>
      </c>
      <c r="D250" s="45" t="s">
        <v>250</v>
      </c>
      <c r="E250" s="60">
        <v>150000</v>
      </c>
      <c r="F250" s="45" t="s">
        <v>250</v>
      </c>
      <c r="G250" s="45" t="s">
        <v>34</v>
      </c>
      <c r="H250" s="45">
        <v>1</v>
      </c>
      <c r="I250" s="45"/>
      <c r="J250" s="45"/>
      <c r="K250" s="2"/>
    </row>
    <row r="251" spans="2:11" x14ac:dyDescent="0.25">
      <c r="B251" s="45">
        <v>239</v>
      </c>
      <c r="C251" s="45" t="s">
        <v>432</v>
      </c>
      <c r="D251" s="45" t="s">
        <v>443</v>
      </c>
      <c r="E251" s="60">
        <v>200000</v>
      </c>
      <c r="F251" s="45" t="s">
        <v>443</v>
      </c>
      <c r="G251" s="45" t="s">
        <v>33</v>
      </c>
      <c r="H251" s="45">
        <v>1</v>
      </c>
      <c r="I251" s="45"/>
      <c r="J251" s="45"/>
      <c r="K251" s="2"/>
    </row>
    <row r="252" spans="2:11" x14ac:dyDescent="0.25">
      <c r="B252" s="45">
        <v>240</v>
      </c>
      <c r="C252" s="45" t="s">
        <v>432</v>
      </c>
      <c r="D252" s="45" t="s">
        <v>252</v>
      </c>
      <c r="E252" s="60">
        <v>300000</v>
      </c>
      <c r="F252" s="45" t="s">
        <v>252</v>
      </c>
      <c r="G252" s="45" t="s">
        <v>34</v>
      </c>
      <c r="H252" s="45">
        <v>2</v>
      </c>
      <c r="I252" s="45"/>
      <c r="J252" s="45"/>
      <c r="K252" s="2"/>
    </row>
    <row r="253" spans="2:11" x14ac:dyDescent="0.25">
      <c r="B253" s="45">
        <v>241</v>
      </c>
      <c r="C253" s="45" t="s">
        <v>432</v>
      </c>
      <c r="D253" s="45" t="s">
        <v>442</v>
      </c>
      <c r="E253" s="60">
        <v>450000</v>
      </c>
      <c r="F253" s="45" t="s">
        <v>442</v>
      </c>
      <c r="G253" s="45" t="s">
        <v>34</v>
      </c>
      <c r="H253" s="45">
        <v>3</v>
      </c>
      <c r="I253" s="45"/>
      <c r="J253" s="45"/>
      <c r="K253" s="2"/>
    </row>
    <row r="254" spans="2:11" x14ac:dyDescent="0.25">
      <c r="B254" s="45">
        <v>242</v>
      </c>
      <c r="C254" s="45" t="s">
        <v>432</v>
      </c>
      <c r="D254" s="45" t="s">
        <v>441</v>
      </c>
      <c r="E254" s="60">
        <v>110000</v>
      </c>
      <c r="F254" s="69" t="s">
        <v>770</v>
      </c>
      <c r="G254" s="45" t="s">
        <v>35</v>
      </c>
      <c r="H254" s="45">
        <v>1</v>
      </c>
      <c r="I254" s="45"/>
      <c r="J254" s="45"/>
      <c r="K254" s="2"/>
    </row>
    <row r="255" spans="2:11" x14ac:dyDescent="0.25">
      <c r="B255" s="45">
        <v>243</v>
      </c>
      <c r="C255" s="45" t="s">
        <v>432</v>
      </c>
      <c r="D255" s="45" t="s">
        <v>440</v>
      </c>
      <c r="E255" s="60">
        <v>800000</v>
      </c>
      <c r="F255" s="69" t="s">
        <v>764</v>
      </c>
      <c r="G255" s="45" t="s">
        <v>33</v>
      </c>
      <c r="H255" s="45">
        <v>4</v>
      </c>
      <c r="I255" s="45"/>
      <c r="J255" s="45"/>
      <c r="K255" s="2"/>
    </row>
    <row r="256" spans="2:11" x14ac:dyDescent="0.25">
      <c r="B256" s="45">
        <v>244</v>
      </c>
      <c r="C256" s="45" t="s">
        <v>432</v>
      </c>
      <c r="D256" s="45" t="s">
        <v>439</v>
      </c>
      <c r="E256" s="60">
        <v>110000</v>
      </c>
      <c r="F256" s="69" t="s">
        <v>439</v>
      </c>
      <c r="G256" s="45" t="s">
        <v>35</v>
      </c>
      <c r="H256" s="45">
        <v>1</v>
      </c>
      <c r="I256" s="45"/>
      <c r="J256" s="45"/>
      <c r="K256" s="2"/>
    </row>
    <row r="257" spans="2:11" x14ac:dyDescent="0.25">
      <c r="B257" s="45">
        <v>245</v>
      </c>
      <c r="C257" s="45" t="s">
        <v>432</v>
      </c>
      <c r="D257" s="62" t="s">
        <v>438</v>
      </c>
      <c r="E257" s="60">
        <v>330000</v>
      </c>
      <c r="F257" s="69" t="s">
        <v>763</v>
      </c>
      <c r="G257" s="45" t="s">
        <v>35</v>
      </c>
      <c r="H257" s="45">
        <v>3</v>
      </c>
      <c r="I257" s="45"/>
      <c r="J257" s="45"/>
      <c r="K257" s="2"/>
    </row>
    <row r="258" spans="2:11" x14ac:dyDescent="0.25">
      <c r="B258" s="45">
        <v>246</v>
      </c>
      <c r="C258" s="45" t="s">
        <v>432</v>
      </c>
      <c r="D258" s="45" t="s">
        <v>258</v>
      </c>
      <c r="E258" s="60">
        <v>150000</v>
      </c>
      <c r="F258" s="69" t="s">
        <v>258</v>
      </c>
      <c r="G258" s="45" t="s">
        <v>34</v>
      </c>
      <c r="H258" s="45">
        <v>1</v>
      </c>
      <c r="I258" s="45"/>
      <c r="J258" s="45"/>
      <c r="K258" s="2"/>
    </row>
    <row r="259" spans="2:11" x14ac:dyDescent="0.25">
      <c r="B259" s="45">
        <v>247</v>
      </c>
      <c r="C259" s="45" t="s">
        <v>432</v>
      </c>
      <c r="D259" s="45" t="s">
        <v>261</v>
      </c>
      <c r="E259" s="60">
        <v>300000</v>
      </c>
      <c r="F259" s="69" t="s">
        <v>261</v>
      </c>
      <c r="G259" s="45" t="s">
        <v>34</v>
      </c>
      <c r="H259" s="45">
        <v>2</v>
      </c>
      <c r="I259" s="45"/>
      <c r="J259" s="45"/>
      <c r="K259" s="2"/>
    </row>
    <row r="260" spans="2:11" x14ac:dyDescent="0.25">
      <c r="B260" s="45">
        <v>248</v>
      </c>
      <c r="C260" s="45" t="s">
        <v>432</v>
      </c>
      <c r="D260" s="45" t="s">
        <v>437</v>
      </c>
      <c r="E260" s="60">
        <v>220000</v>
      </c>
      <c r="F260" s="45" t="s">
        <v>437</v>
      </c>
      <c r="G260" s="45" t="s">
        <v>35</v>
      </c>
      <c r="H260" s="45">
        <v>2</v>
      </c>
      <c r="I260" s="45"/>
      <c r="J260" s="45"/>
      <c r="K260" s="2"/>
    </row>
    <row r="261" spans="2:11" x14ac:dyDescent="0.25">
      <c r="B261" s="45">
        <v>249</v>
      </c>
      <c r="C261" s="45" t="s">
        <v>432</v>
      </c>
      <c r="D261" s="45" t="s">
        <v>436</v>
      </c>
      <c r="E261" s="60">
        <v>150000</v>
      </c>
      <c r="F261" s="45" t="s">
        <v>436</v>
      </c>
      <c r="G261" s="45" t="s">
        <v>34</v>
      </c>
      <c r="H261" s="45">
        <v>1</v>
      </c>
      <c r="I261" s="45"/>
      <c r="J261" s="45"/>
      <c r="K261" s="2"/>
    </row>
    <row r="262" spans="2:11" x14ac:dyDescent="0.25">
      <c r="B262" s="45">
        <v>250</v>
      </c>
      <c r="C262" s="45" t="s">
        <v>432</v>
      </c>
      <c r="D262" s="45" t="s">
        <v>262</v>
      </c>
      <c r="E262" s="60">
        <v>150000</v>
      </c>
      <c r="F262" s="45" t="s">
        <v>262</v>
      </c>
      <c r="G262" s="45" t="s">
        <v>34</v>
      </c>
      <c r="H262" s="45">
        <v>1</v>
      </c>
      <c r="I262" s="45"/>
      <c r="J262" s="45"/>
      <c r="K262" s="2"/>
    </row>
    <row r="263" spans="2:11" ht="18.75" customHeight="1" x14ac:dyDescent="0.25">
      <c r="B263" s="45">
        <v>251</v>
      </c>
      <c r="C263" s="45" t="s">
        <v>432</v>
      </c>
      <c r="D263" s="45" t="s">
        <v>435</v>
      </c>
      <c r="E263" s="60">
        <v>110000</v>
      </c>
      <c r="F263" s="69" t="s">
        <v>762</v>
      </c>
      <c r="G263" s="45" t="s">
        <v>35</v>
      </c>
      <c r="H263" s="45">
        <v>1</v>
      </c>
      <c r="I263" s="45"/>
      <c r="J263" s="45"/>
      <c r="K263" s="2"/>
    </row>
    <row r="264" spans="2:11" x14ac:dyDescent="0.25">
      <c r="B264" s="45">
        <v>252</v>
      </c>
      <c r="C264" s="45" t="s">
        <v>432</v>
      </c>
      <c r="D264" s="45" t="s">
        <v>434</v>
      </c>
      <c r="E264" s="60">
        <v>110000</v>
      </c>
      <c r="F264" s="69" t="s">
        <v>761</v>
      </c>
      <c r="G264" s="45" t="s">
        <v>35</v>
      </c>
      <c r="H264" s="45">
        <v>1</v>
      </c>
      <c r="I264" s="45"/>
      <c r="J264" s="45"/>
      <c r="K264" s="2"/>
    </row>
    <row r="265" spans="2:11" x14ac:dyDescent="0.25">
      <c r="B265" s="45">
        <v>253</v>
      </c>
      <c r="C265" s="45" t="s">
        <v>432</v>
      </c>
      <c r="D265" s="45" t="s">
        <v>46</v>
      </c>
      <c r="E265" s="60">
        <v>110000</v>
      </c>
      <c r="F265" s="69" t="s">
        <v>760</v>
      </c>
      <c r="G265" s="45" t="s">
        <v>35</v>
      </c>
      <c r="H265" s="45">
        <v>1</v>
      </c>
      <c r="I265" s="45"/>
      <c r="J265" s="45"/>
      <c r="K265" s="2"/>
    </row>
    <row r="266" spans="2:11" x14ac:dyDescent="0.25">
      <c r="B266" s="45">
        <v>254</v>
      </c>
      <c r="C266" s="45" t="s">
        <v>432</v>
      </c>
      <c r="D266" s="45" t="s">
        <v>110</v>
      </c>
      <c r="E266" s="60">
        <v>110000</v>
      </c>
      <c r="F266" s="69" t="s">
        <v>110</v>
      </c>
      <c r="G266" s="45" t="s">
        <v>35</v>
      </c>
      <c r="H266" s="45">
        <v>1</v>
      </c>
      <c r="I266" s="45"/>
      <c r="J266" s="45"/>
      <c r="K266" s="2"/>
    </row>
    <row r="267" spans="2:11" ht="30" x14ac:dyDescent="0.25">
      <c r="B267" s="45">
        <v>255</v>
      </c>
      <c r="C267" s="45" t="s">
        <v>432</v>
      </c>
      <c r="D267" s="45" t="s">
        <v>266</v>
      </c>
      <c r="E267" s="60">
        <v>300000</v>
      </c>
      <c r="F267" s="69" t="s">
        <v>266</v>
      </c>
      <c r="G267" s="45" t="s">
        <v>34</v>
      </c>
      <c r="H267" s="45">
        <v>2</v>
      </c>
      <c r="I267" s="45"/>
      <c r="J267" s="45"/>
      <c r="K267" s="2"/>
    </row>
    <row r="268" spans="2:11" x14ac:dyDescent="0.25">
      <c r="B268" s="45">
        <v>256</v>
      </c>
      <c r="C268" s="45" t="s">
        <v>432</v>
      </c>
      <c r="D268" s="45" t="s">
        <v>363</v>
      </c>
      <c r="E268" s="60">
        <v>200000</v>
      </c>
      <c r="F268" s="69" t="s">
        <v>363</v>
      </c>
      <c r="G268" s="45" t="s">
        <v>33</v>
      </c>
      <c r="H268" s="45">
        <v>1</v>
      </c>
      <c r="I268" s="45"/>
      <c r="J268" s="45"/>
      <c r="K268" s="2"/>
    </row>
    <row r="269" spans="2:11" ht="30" x14ac:dyDescent="0.25">
      <c r="B269" s="45">
        <v>257</v>
      </c>
      <c r="C269" s="45" t="s">
        <v>432</v>
      </c>
      <c r="D269" s="45" t="s">
        <v>269</v>
      </c>
      <c r="E269" s="60">
        <v>110000</v>
      </c>
      <c r="F269" s="45" t="s">
        <v>269</v>
      </c>
      <c r="G269" s="45" t="s">
        <v>35</v>
      </c>
      <c r="H269" s="45">
        <v>1</v>
      </c>
      <c r="I269" s="45"/>
      <c r="J269" s="45"/>
      <c r="K269" s="2"/>
    </row>
    <row r="270" spans="2:11" x14ac:dyDescent="0.25">
      <c r="B270" s="45">
        <v>258</v>
      </c>
      <c r="C270" s="45" t="s">
        <v>432</v>
      </c>
      <c r="D270" s="45" t="s">
        <v>433</v>
      </c>
      <c r="E270" s="60">
        <v>200000</v>
      </c>
      <c r="F270" s="45" t="s">
        <v>433</v>
      </c>
      <c r="G270" s="45" t="s">
        <v>33</v>
      </c>
      <c r="H270" s="45">
        <v>1</v>
      </c>
      <c r="I270" s="45"/>
      <c r="J270" s="45"/>
      <c r="K270" s="2"/>
    </row>
    <row r="271" spans="2:11" x14ac:dyDescent="0.25">
      <c r="B271" s="45">
        <v>259</v>
      </c>
      <c r="C271" s="45" t="s">
        <v>432</v>
      </c>
      <c r="D271" s="45" t="s">
        <v>271</v>
      </c>
      <c r="E271" s="60">
        <v>110000</v>
      </c>
      <c r="F271" s="66" t="s">
        <v>271</v>
      </c>
      <c r="G271" s="45" t="s">
        <v>310</v>
      </c>
      <c r="H271" s="45">
        <v>1</v>
      </c>
      <c r="I271" s="45"/>
      <c r="J271" s="45"/>
      <c r="K271" s="2"/>
    </row>
    <row r="272" spans="2:11" x14ac:dyDescent="0.25">
      <c r="B272" s="45">
        <v>260</v>
      </c>
      <c r="C272" s="45" t="s">
        <v>410</v>
      </c>
      <c r="D272" s="45" t="s">
        <v>431</v>
      </c>
      <c r="E272" s="60">
        <v>220000</v>
      </c>
      <c r="F272" s="66" t="s">
        <v>273</v>
      </c>
      <c r="G272" s="45" t="s">
        <v>310</v>
      </c>
      <c r="H272" s="45">
        <v>2</v>
      </c>
      <c r="I272" s="45"/>
      <c r="J272" s="45"/>
      <c r="K272" s="2"/>
    </row>
    <row r="273" spans="2:11" x14ac:dyDescent="0.25">
      <c r="B273" s="45">
        <v>261</v>
      </c>
      <c r="C273" s="45" t="s">
        <v>410</v>
      </c>
      <c r="D273" s="45" t="s">
        <v>430</v>
      </c>
      <c r="E273" s="60">
        <v>220000</v>
      </c>
      <c r="F273" s="66" t="s">
        <v>274</v>
      </c>
      <c r="G273" s="45" t="s">
        <v>310</v>
      </c>
      <c r="H273" s="45">
        <v>2</v>
      </c>
      <c r="I273" s="45"/>
      <c r="J273" s="45"/>
      <c r="K273" s="2"/>
    </row>
    <row r="274" spans="2:11" x14ac:dyDescent="0.25">
      <c r="B274" s="45">
        <v>262</v>
      </c>
      <c r="C274" s="45" t="s">
        <v>410</v>
      </c>
      <c r="D274" s="45" t="s">
        <v>275</v>
      </c>
      <c r="E274" s="60">
        <v>450000</v>
      </c>
      <c r="F274" s="45" t="s">
        <v>275</v>
      </c>
      <c r="G274" s="45" t="s">
        <v>34</v>
      </c>
      <c r="H274" s="45">
        <v>3</v>
      </c>
      <c r="I274" s="45"/>
      <c r="J274" s="45"/>
      <c r="K274" s="2"/>
    </row>
    <row r="275" spans="2:11" x14ac:dyDescent="0.25">
      <c r="B275" s="45">
        <v>263</v>
      </c>
      <c r="C275" s="45" t="s">
        <v>410</v>
      </c>
      <c r="D275" s="45" t="s">
        <v>429</v>
      </c>
      <c r="E275" s="60">
        <v>110000</v>
      </c>
      <c r="F275" s="69" t="s">
        <v>759</v>
      </c>
      <c r="G275" s="45" t="s">
        <v>310</v>
      </c>
      <c r="H275" s="45">
        <v>1</v>
      </c>
      <c r="I275" s="45"/>
      <c r="J275" s="45"/>
      <c r="K275" s="2"/>
    </row>
    <row r="276" spans="2:11" x14ac:dyDescent="0.25">
      <c r="B276" s="45">
        <v>264</v>
      </c>
      <c r="C276" s="45" t="s">
        <v>410</v>
      </c>
      <c r="D276" s="45" t="s">
        <v>280</v>
      </c>
      <c r="E276" s="60">
        <v>220000</v>
      </c>
      <c r="F276" s="45" t="s">
        <v>280</v>
      </c>
      <c r="G276" s="45" t="s">
        <v>310</v>
      </c>
      <c r="H276" s="45">
        <v>2</v>
      </c>
      <c r="I276" s="45"/>
      <c r="J276" s="45"/>
      <c r="K276" s="2"/>
    </row>
    <row r="277" spans="2:11" x14ac:dyDescent="0.25">
      <c r="B277" s="45">
        <v>265</v>
      </c>
      <c r="C277" s="45" t="s">
        <v>410</v>
      </c>
      <c r="D277" s="45" t="s">
        <v>428</v>
      </c>
      <c r="E277" s="60">
        <v>110000</v>
      </c>
      <c r="F277" s="69"/>
      <c r="G277" s="45" t="s">
        <v>310</v>
      </c>
      <c r="H277" s="45">
        <v>1</v>
      </c>
      <c r="I277" s="45"/>
      <c r="J277" s="45"/>
      <c r="K277" s="2"/>
    </row>
    <row r="278" spans="2:11" ht="30" x14ac:dyDescent="0.25">
      <c r="B278" s="45">
        <v>266</v>
      </c>
      <c r="C278" s="45" t="s">
        <v>410</v>
      </c>
      <c r="D278" s="45" t="s">
        <v>277</v>
      </c>
      <c r="E278" s="60">
        <v>440000</v>
      </c>
      <c r="F278" s="45" t="s">
        <v>277</v>
      </c>
      <c r="G278" s="45" t="s">
        <v>310</v>
      </c>
      <c r="H278" s="45">
        <v>4</v>
      </c>
      <c r="I278" s="45"/>
      <c r="J278" s="45"/>
      <c r="K278" s="2"/>
    </row>
    <row r="279" spans="2:11" x14ac:dyDescent="0.25">
      <c r="B279" s="45">
        <v>267</v>
      </c>
      <c r="C279" s="45" t="s">
        <v>410</v>
      </c>
      <c r="D279" s="45" t="s">
        <v>427</v>
      </c>
      <c r="E279" s="60">
        <v>110000</v>
      </c>
      <c r="F279" s="45" t="s">
        <v>723</v>
      </c>
      <c r="G279" s="45" t="s">
        <v>310</v>
      </c>
      <c r="H279" s="45">
        <v>1</v>
      </c>
      <c r="I279" s="45"/>
      <c r="J279" s="45"/>
      <c r="K279" s="2"/>
    </row>
    <row r="280" spans="2:11" x14ac:dyDescent="0.25">
      <c r="B280" s="45">
        <v>268</v>
      </c>
      <c r="C280" s="45" t="s">
        <v>410</v>
      </c>
      <c r="D280" s="45" t="s">
        <v>426</v>
      </c>
      <c r="E280" s="60">
        <v>200000</v>
      </c>
      <c r="F280" s="45" t="s">
        <v>279</v>
      </c>
      <c r="G280" s="45" t="s">
        <v>33</v>
      </c>
      <c r="H280" s="45">
        <v>1</v>
      </c>
      <c r="I280" s="45"/>
      <c r="J280" s="45"/>
      <c r="K280" s="2"/>
    </row>
    <row r="281" spans="2:11" x14ac:dyDescent="0.25">
      <c r="B281" s="45">
        <v>269</v>
      </c>
      <c r="C281" s="45" t="s">
        <v>410</v>
      </c>
      <c r="D281" s="45" t="s">
        <v>425</v>
      </c>
      <c r="E281" s="60">
        <v>110000</v>
      </c>
      <c r="F281" s="69" t="s">
        <v>425</v>
      </c>
      <c r="G281" s="45" t="s">
        <v>310</v>
      </c>
      <c r="H281" s="45">
        <v>1</v>
      </c>
      <c r="I281" s="45"/>
      <c r="J281" s="45"/>
      <c r="K281" s="2"/>
    </row>
    <row r="282" spans="2:11" x14ac:dyDescent="0.25">
      <c r="B282" s="45">
        <v>270</v>
      </c>
      <c r="C282" s="45" t="s">
        <v>410</v>
      </c>
      <c r="D282" s="45" t="s">
        <v>422</v>
      </c>
      <c r="E282" s="60">
        <v>400000</v>
      </c>
      <c r="F282" s="69" t="s">
        <v>422</v>
      </c>
      <c r="G282" s="45" t="s">
        <v>33</v>
      </c>
      <c r="H282" s="45">
        <v>2</v>
      </c>
      <c r="I282" s="45"/>
      <c r="J282" s="45"/>
      <c r="K282" s="2"/>
    </row>
    <row r="283" spans="2:11" x14ac:dyDescent="0.25">
      <c r="B283" s="45">
        <v>271</v>
      </c>
      <c r="C283" s="45" t="s">
        <v>410</v>
      </c>
      <c r="D283" s="45" t="s">
        <v>421</v>
      </c>
      <c r="E283" s="60">
        <v>220000</v>
      </c>
      <c r="F283" s="45" t="s">
        <v>421</v>
      </c>
      <c r="G283" s="45" t="s">
        <v>34</v>
      </c>
      <c r="H283" s="45">
        <v>2</v>
      </c>
      <c r="I283" s="45"/>
      <c r="J283" s="45"/>
      <c r="K283" s="2"/>
    </row>
    <row r="284" spans="2:11" x14ac:dyDescent="0.25">
      <c r="B284" s="45">
        <v>272</v>
      </c>
      <c r="C284" s="45" t="s">
        <v>410</v>
      </c>
      <c r="D284" s="45" t="s">
        <v>420</v>
      </c>
      <c r="E284" s="60">
        <v>200000</v>
      </c>
      <c r="F284" s="69" t="s">
        <v>758</v>
      </c>
      <c r="G284" s="45" t="s">
        <v>33</v>
      </c>
      <c r="H284" s="45">
        <v>1</v>
      </c>
      <c r="I284" s="45"/>
      <c r="J284" s="45"/>
      <c r="K284" s="2"/>
    </row>
    <row r="285" spans="2:11" x14ac:dyDescent="0.25">
      <c r="B285" s="45">
        <v>273</v>
      </c>
      <c r="C285" s="45" t="s">
        <v>410</v>
      </c>
      <c r="D285" s="45" t="s">
        <v>419</v>
      </c>
      <c r="E285" s="60">
        <v>150000</v>
      </c>
      <c r="F285" s="69" t="s">
        <v>419</v>
      </c>
      <c r="G285" s="45" t="s">
        <v>34</v>
      </c>
      <c r="H285" s="45">
        <v>1</v>
      </c>
      <c r="I285" s="45"/>
      <c r="J285" s="45"/>
      <c r="K285" s="2"/>
    </row>
    <row r="286" spans="2:11" x14ac:dyDescent="0.25">
      <c r="B286" s="45">
        <v>274</v>
      </c>
      <c r="C286" s="45" t="s">
        <v>410</v>
      </c>
      <c r="D286" s="45" t="s">
        <v>286</v>
      </c>
      <c r="E286" s="60">
        <v>110000</v>
      </c>
      <c r="F286" s="66" t="s">
        <v>286</v>
      </c>
      <c r="G286" s="45" t="s">
        <v>310</v>
      </c>
      <c r="H286" s="45">
        <v>1</v>
      </c>
      <c r="I286" s="45"/>
      <c r="J286" s="45"/>
      <c r="K286" s="2"/>
    </row>
    <row r="287" spans="2:11" x14ac:dyDescent="0.25">
      <c r="B287" s="45">
        <v>275</v>
      </c>
      <c r="C287" s="45" t="s">
        <v>410</v>
      </c>
      <c r="D287" s="45" t="s">
        <v>418</v>
      </c>
      <c r="E287" s="60">
        <v>110000</v>
      </c>
      <c r="F287" s="66" t="s">
        <v>285</v>
      </c>
      <c r="G287" s="45" t="s">
        <v>310</v>
      </c>
      <c r="H287" s="45">
        <v>1</v>
      </c>
      <c r="I287" s="45"/>
      <c r="J287" s="45"/>
      <c r="K287" s="2"/>
    </row>
    <row r="288" spans="2:11" x14ac:dyDescent="0.25">
      <c r="B288" s="45">
        <v>276</v>
      </c>
      <c r="C288" s="45" t="s">
        <v>410</v>
      </c>
      <c r="D288" s="45" t="s">
        <v>417</v>
      </c>
      <c r="E288" s="60">
        <v>160000</v>
      </c>
      <c r="F288" s="66" t="s">
        <v>722</v>
      </c>
      <c r="G288" s="45" t="s">
        <v>34</v>
      </c>
      <c r="H288" s="45">
        <v>1</v>
      </c>
      <c r="I288" s="45"/>
      <c r="J288" s="45"/>
      <c r="K288" s="2"/>
    </row>
    <row r="289" spans="2:11" x14ac:dyDescent="0.25">
      <c r="B289" s="45">
        <v>277</v>
      </c>
      <c r="C289" s="45" t="s">
        <v>410</v>
      </c>
      <c r="D289" s="45" t="s">
        <v>417</v>
      </c>
      <c r="E289" s="60">
        <v>150000</v>
      </c>
      <c r="F289" s="66" t="s">
        <v>287</v>
      </c>
      <c r="G289" s="45" t="s">
        <v>34</v>
      </c>
      <c r="H289" s="45">
        <v>1</v>
      </c>
      <c r="I289" s="45"/>
      <c r="J289" s="45"/>
      <c r="K289" s="2"/>
    </row>
    <row r="290" spans="2:11" x14ac:dyDescent="0.25">
      <c r="B290" s="45">
        <v>278</v>
      </c>
      <c r="C290" s="45" t="s">
        <v>410</v>
      </c>
      <c r="D290" s="45" t="s">
        <v>416</v>
      </c>
      <c r="E290" s="60">
        <v>1000000</v>
      </c>
      <c r="F290" s="69" t="s">
        <v>416</v>
      </c>
      <c r="G290" s="45" t="s">
        <v>33</v>
      </c>
      <c r="H290" s="45">
        <v>4</v>
      </c>
      <c r="I290" s="45"/>
      <c r="J290" s="45"/>
      <c r="K290" s="2"/>
    </row>
    <row r="291" spans="2:11" x14ac:dyDescent="0.25">
      <c r="B291" s="45">
        <v>279</v>
      </c>
      <c r="C291" s="45" t="s">
        <v>410</v>
      </c>
      <c r="D291" s="45" t="s">
        <v>415</v>
      </c>
      <c r="E291" s="60">
        <v>110000</v>
      </c>
      <c r="F291" s="66" t="s">
        <v>308</v>
      </c>
      <c r="G291" s="45" t="s">
        <v>35</v>
      </c>
      <c r="H291" s="45">
        <v>1</v>
      </c>
      <c r="I291" s="45"/>
      <c r="J291" s="45"/>
      <c r="K291" s="2"/>
    </row>
    <row r="292" spans="2:11" x14ac:dyDescent="0.25">
      <c r="B292" s="45">
        <v>280</v>
      </c>
      <c r="C292" s="45" t="s">
        <v>410</v>
      </c>
      <c r="D292" s="45" t="s">
        <v>306</v>
      </c>
      <c r="E292" s="60">
        <v>110000</v>
      </c>
      <c r="F292" s="66" t="s">
        <v>306</v>
      </c>
      <c r="G292" s="45" t="s">
        <v>35</v>
      </c>
      <c r="H292" s="45">
        <v>1</v>
      </c>
      <c r="I292" s="45"/>
      <c r="J292" s="45"/>
      <c r="K292" s="2"/>
    </row>
    <row r="293" spans="2:11" x14ac:dyDescent="0.25">
      <c r="B293" s="45">
        <v>281</v>
      </c>
      <c r="C293" s="45" t="s">
        <v>410</v>
      </c>
      <c r="D293" s="45" t="s">
        <v>414</v>
      </c>
      <c r="E293" s="60">
        <v>440000</v>
      </c>
      <c r="F293" s="66" t="s">
        <v>307</v>
      </c>
      <c r="G293" s="45" t="s">
        <v>35</v>
      </c>
      <c r="H293" s="45">
        <v>4</v>
      </c>
      <c r="I293" s="45"/>
      <c r="J293" s="45"/>
      <c r="K293" s="2"/>
    </row>
    <row r="294" spans="2:11" x14ac:dyDescent="0.25">
      <c r="B294" s="45">
        <v>282</v>
      </c>
      <c r="C294" s="45" t="s">
        <v>410</v>
      </c>
      <c r="D294" s="45" t="s">
        <v>413</v>
      </c>
      <c r="E294" s="60">
        <v>220000</v>
      </c>
      <c r="F294" s="66" t="s">
        <v>305</v>
      </c>
      <c r="G294" s="45" t="s">
        <v>35</v>
      </c>
      <c r="H294" s="45">
        <v>2</v>
      </c>
      <c r="I294" s="45"/>
      <c r="J294" s="45"/>
      <c r="K294" s="2"/>
    </row>
    <row r="295" spans="2:11" x14ac:dyDescent="0.25">
      <c r="B295" s="45">
        <v>283</v>
      </c>
      <c r="C295" s="45" t="s">
        <v>410</v>
      </c>
      <c r="D295" s="45" t="s">
        <v>302</v>
      </c>
      <c r="E295" s="60">
        <v>110000</v>
      </c>
      <c r="F295" s="66" t="s">
        <v>721</v>
      </c>
      <c r="G295" s="45" t="s">
        <v>35</v>
      </c>
      <c r="H295" s="45">
        <v>1</v>
      </c>
      <c r="I295" s="45"/>
      <c r="J295" s="45"/>
      <c r="K295" s="2"/>
    </row>
    <row r="296" spans="2:11" x14ac:dyDescent="0.25">
      <c r="B296" s="45">
        <v>284</v>
      </c>
      <c r="C296" s="45" t="s">
        <v>410</v>
      </c>
      <c r="D296" s="45" t="s">
        <v>412</v>
      </c>
      <c r="E296" s="60">
        <v>110000</v>
      </c>
      <c r="F296" s="66" t="s">
        <v>304</v>
      </c>
      <c r="G296" s="45" t="s">
        <v>35</v>
      </c>
      <c r="H296" s="45">
        <v>1</v>
      </c>
      <c r="I296" s="45"/>
      <c r="J296" s="45"/>
      <c r="K296" s="2"/>
    </row>
    <row r="297" spans="2:11" x14ac:dyDescent="0.25">
      <c r="B297" s="45">
        <v>285</v>
      </c>
      <c r="C297" s="45" t="s">
        <v>410</v>
      </c>
      <c r="D297" s="45" t="s">
        <v>411</v>
      </c>
      <c r="E297" s="60">
        <v>220000</v>
      </c>
      <c r="F297" s="66" t="s">
        <v>303</v>
      </c>
      <c r="G297" s="45" t="s">
        <v>35</v>
      </c>
      <c r="H297" s="45">
        <v>2</v>
      </c>
      <c r="I297" s="45"/>
      <c r="J297" s="45"/>
      <c r="K297" s="2"/>
    </row>
    <row r="298" spans="2:11" x14ac:dyDescent="0.25">
      <c r="B298" s="45">
        <v>286</v>
      </c>
      <c r="C298" s="45" t="s">
        <v>392</v>
      </c>
      <c r="D298" s="45" t="s">
        <v>409</v>
      </c>
      <c r="E298" s="60">
        <v>300000</v>
      </c>
      <c r="F298" s="66" t="s">
        <v>311</v>
      </c>
      <c r="G298" s="45" t="s">
        <v>34</v>
      </c>
      <c r="H298" s="45">
        <v>2</v>
      </c>
      <c r="I298" s="45"/>
      <c r="J298" s="45"/>
      <c r="K298" s="2"/>
    </row>
    <row r="299" spans="2:11" x14ac:dyDescent="0.25">
      <c r="B299" s="45">
        <v>287</v>
      </c>
      <c r="C299" s="45" t="s">
        <v>392</v>
      </c>
      <c r="D299" s="45" t="s">
        <v>401</v>
      </c>
      <c r="E299" s="60">
        <v>500000</v>
      </c>
      <c r="F299" s="66" t="s">
        <v>312</v>
      </c>
      <c r="G299" s="45" t="s">
        <v>33</v>
      </c>
      <c r="H299" s="45">
        <v>2</v>
      </c>
      <c r="I299" s="45"/>
      <c r="J299" s="45"/>
      <c r="K299" s="2"/>
    </row>
    <row r="300" spans="2:11" x14ac:dyDescent="0.25">
      <c r="B300" s="45">
        <v>288</v>
      </c>
      <c r="C300" s="45" t="s">
        <v>392</v>
      </c>
      <c r="D300" s="45" t="s">
        <v>400</v>
      </c>
      <c r="E300" s="60">
        <v>300000</v>
      </c>
      <c r="F300" s="66" t="s">
        <v>314</v>
      </c>
      <c r="G300" s="45" t="s">
        <v>34</v>
      </c>
      <c r="H300" s="45">
        <v>2</v>
      </c>
      <c r="I300" s="45"/>
      <c r="J300" s="45"/>
      <c r="K300" s="2"/>
    </row>
    <row r="301" spans="2:11" x14ac:dyDescent="0.25">
      <c r="B301" s="45">
        <v>289</v>
      </c>
      <c r="C301" s="45" t="s">
        <v>392</v>
      </c>
      <c r="D301" s="45" t="s">
        <v>719</v>
      </c>
      <c r="E301" s="60">
        <v>110000</v>
      </c>
      <c r="F301" s="45" t="s">
        <v>719</v>
      </c>
      <c r="G301" s="45" t="s">
        <v>35</v>
      </c>
      <c r="H301" s="45">
        <v>1</v>
      </c>
      <c r="I301" s="45"/>
      <c r="J301" s="45"/>
      <c r="K301" s="2"/>
    </row>
    <row r="302" spans="2:11" x14ac:dyDescent="0.25">
      <c r="B302" s="45">
        <v>290</v>
      </c>
      <c r="C302" s="45" t="s">
        <v>392</v>
      </c>
      <c r="D302" s="45" t="s">
        <v>399</v>
      </c>
      <c r="E302" s="60">
        <v>150000</v>
      </c>
      <c r="F302" s="66" t="s">
        <v>313</v>
      </c>
      <c r="G302" s="45" t="s">
        <v>34</v>
      </c>
      <c r="H302" s="45">
        <v>1</v>
      </c>
      <c r="I302" s="45"/>
      <c r="J302" s="45"/>
      <c r="K302" s="2"/>
    </row>
    <row r="303" spans="2:11" x14ac:dyDescent="0.25">
      <c r="B303" s="45">
        <v>291</v>
      </c>
      <c r="C303" s="45" t="s">
        <v>392</v>
      </c>
      <c r="D303" s="45" t="s">
        <v>398</v>
      </c>
      <c r="E303" s="60">
        <v>330000</v>
      </c>
      <c r="F303" s="66" t="s">
        <v>315</v>
      </c>
      <c r="G303" s="45" t="s">
        <v>35</v>
      </c>
      <c r="H303" s="45">
        <v>3</v>
      </c>
      <c r="I303" s="45"/>
      <c r="J303" s="45"/>
      <c r="K303" s="2"/>
    </row>
    <row r="304" spans="2:11" ht="30" x14ac:dyDescent="0.25">
      <c r="B304" s="45">
        <v>292</v>
      </c>
      <c r="C304" s="45" t="s">
        <v>392</v>
      </c>
      <c r="D304" s="45" t="s">
        <v>720</v>
      </c>
      <c r="E304" s="60">
        <v>110000</v>
      </c>
      <c r="F304" s="66" t="s">
        <v>316</v>
      </c>
      <c r="G304" s="45" t="s">
        <v>35</v>
      </c>
      <c r="H304" s="45">
        <v>1</v>
      </c>
      <c r="I304" s="45"/>
      <c r="J304" s="45"/>
      <c r="K304" s="2"/>
    </row>
    <row r="305" spans="2:16" x14ac:dyDescent="0.25">
      <c r="B305" s="45">
        <v>293</v>
      </c>
      <c r="C305" s="45" t="s">
        <v>392</v>
      </c>
      <c r="D305" s="45" t="s">
        <v>397</v>
      </c>
      <c r="E305" s="60">
        <v>330000</v>
      </c>
      <c r="F305" s="45" t="s">
        <v>397</v>
      </c>
      <c r="G305" s="45" t="s">
        <v>35</v>
      </c>
      <c r="H305" s="45">
        <v>3</v>
      </c>
      <c r="I305" s="45"/>
      <c r="J305" s="45"/>
      <c r="K305" s="2"/>
    </row>
    <row r="306" spans="2:16" ht="30" x14ac:dyDescent="0.25">
      <c r="B306" s="45">
        <v>294</v>
      </c>
      <c r="C306" s="45" t="s">
        <v>392</v>
      </c>
      <c r="D306" s="45" t="s">
        <v>396</v>
      </c>
      <c r="E306" s="60">
        <v>200000</v>
      </c>
      <c r="F306" s="45" t="s">
        <v>396</v>
      </c>
      <c r="G306" s="45" t="s">
        <v>33</v>
      </c>
      <c r="H306" s="45">
        <v>1</v>
      </c>
      <c r="I306" s="45"/>
      <c r="J306" s="45"/>
      <c r="K306" s="2"/>
    </row>
    <row r="307" spans="2:16" x14ac:dyDescent="0.25">
      <c r="B307" s="45">
        <v>295</v>
      </c>
      <c r="C307" s="45" t="s">
        <v>392</v>
      </c>
      <c r="D307" s="45" t="s">
        <v>395</v>
      </c>
      <c r="E307" s="60">
        <v>220000</v>
      </c>
      <c r="F307" s="45" t="s">
        <v>395</v>
      </c>
      <c r="G307" s="45" t="s">
        <v>35</v>
      </c>
      <c r="H307" s="45">
        <v>2</v>
      </c>
      <c r="I307" s="45"/>
      <c r="J307" s="45"/>
      <c r="K307" s="2"/>
    </row>
    <row r="308" spans="2:16" s="1" customFormat="1" x14ac:dyDescent="0.25">
      <c r="B308" s="45">
        <v>296</v>
      </c>
      <c r="C308" s="45" t="s">
        <v>392</v>
      </c>
      <c r="D308" s="45" t="s">
        <v>320</v>
      </c>
      <c r="E308" s="60">
        <v>110000</v>
      </c>
      <c r="F308" s="45" t="s">
        <v>320</v>
      </c>
      <c r="G308" s="45" t="s">
        <v>35</v>
      </c>
      <c r="H308" s="45">
        <v>1</v>
      </c>
      <c r="I308" s="45"/>
      <c r="J308" s="45"/>
      <c r="K308" s="2"/>
      <c r="P308" s="76"/>
    </row>
    <row r="309" spans="2:16" x14ac:dyDescent="0.25">
      <c r="B309" s="45">
        <v>297</v>
      </c>
      <c r="C309" s="45" t="s">
        <v>392</v>
      </c>
      <c r="D309" s="45" t="s">
        <v>321</v>
      </c>
      <c r="E309" s="60">
        <v>220000</v>
      </c>
      <c r="F309" s="45" t="s">
        <v>321</v>
      </c>
      <c r="G309" s="45" t="s">
        <v>35</v>
      </c>
      <c r="H309" s="45">
        <v>2</v>
      </c>
      <c r="I309" s="45"/>
      <c r="J309" s="45"/>
      <c r="K309" s="2"/>
    </row>
    <row r="310" spans="2:16" x14ac:dyDescent="0.25">
      <c r="B310" s="45">
        <v>298</v>
      </c>
      <c r="C310" s="45" t="s">
        <v>392</v>
      </c>
      <c r="D310" s="45" t="s">
        <v>394</v>
      </c>
      <c r="E310" s="60">
        <v>200000</v>
      </c>
      <c r="F310" s="45" t="s">
        <v>394</v>
      </c>
      <c r="G310" s="45" t="s">
        <v>33</v>
      </c>
      <c r="H310" s="45">
        <v>1</v>
      </c>
      <c r="I310" s="45"/>
      <c r="J310" s="45"/>
      <c r="K310" s="2"/>
    </row>
    <row r="311" spans="2:16" ht="30" x14ac:dyDescent="0.25">
      <c r="B311" s="45">
        <v>299</v>
      </c>
      <c r="C311" s="45" t="s">
        <v>392</v>
      </c>
      <c r="D311" s="45" t="s">
        <v>393</v>
      </c>
      <c r="E311" s="60">
        <v>300000</v>
      </c>
      <c r="F311" s="69" t="s">
        <v>393</v>
      </c>
      <c r="G311" s="45" t="s">
        <v>34</v>
      </c>
      <c r="H311" s="45">
        <v>2</v>
      </c>
      <c r="I311" s="45"/>
      <c r="J311" s="45"/>
      <c r="K311" s="2"/>
    </row>
    <row r="312" spans="2:16" x14ac:dyDescent="0.25">
      <c r="B312" s="45">
        <v>300</v>
      </c>
      <c r="C312" s="45" t="s">
        <v>392</v>
      </c>
      <c r="D312" s="45" t="s">
        <v>334</v>
      </c>
      <c r="E312" s="60">
        <v>200000</v>
      </c>
      <c r="F312" s="45" t="s">
        <v>334</v>
      </c>
      <c r="G312" s="45" t="s">
        <v>33</v>
      </c>
      <c r="H312" s="45">
        <v>1</v>
      </c>
      <c r="I312" s="45"/>
      <c r="J312" s="45"/>
      <c r="K312" s="2"/>
    </row>
    <row r="313" spans="2:16" x14ac:dyDescent="0.25">
      <c r="B313" s="45">
        <v>301</v>
      </c>
      <c r="C313" s="45" t="s">
        <v>392</v>
      </c>
      <c r="D313" s="45" t="s">
        <v>391</v>
      </c>
      <c r="E313" s="60">
        <v>220000</v>
      </c>
      <c r="F313" s="45" t="s">
        <v>391</v>
      </c>
      <c r="G313" s="45" t="s">
        <v>35</v>
      </c>
      <c r="H313" s="45">
        <v>2</v>
      </c>
      <c r="I313" s="45"/>
      <c r="J313" s="45"/>
      <c r="K313" s="2"/>
    </row>
    <row r="314" spans="2:16" x14ac:dyDescent="0.25">
      <c r="B314" s="45">
        <v>302</v>
      </c>
      <c r="C314" s="45" t="s">
        <v>392</v>
      </c>
      <c r="D314" s="45" t="s">
        <v>390</v>
      </c>
      <c r="E314" s="60">
        <v>150000</v>
      </c>
      <c r="F314" s="45" t="s">
        <v>390</v>
      </c>
      <c r="G314" s="45" t="s">
        <v>34</v>
      </c>
      <c r="H314" s="45">
        <v>1</v>
      </c>
      <c r="I314" s="45"/>
      <c r="J314" s="45"/>
      <c r="K314" s="2"/>
    </row>
    <row r="315" spans="2:16" x14ac:dyDescent="0.25">
      <c r="B315" s="45">
        <v>303</v>
      </c>
      <c r="C315" s="45" t="s">
        <v>379</v>
      </c>
      <c r="D315" s="45" t="s">
        <v>389</v>
      </c>
      <c r="E315" s="60">
        <v>450000</v>
      </c>
      <c r="F315" s="66" t="s">
        <v>343</v>
      </c>
      <c r="G315" s="45" t="s">
        <v>34</v>
      </c>
      <c r="H315" s="45">
        <v>3</v>
      </c>
      <c r="I315" s="45"/>
      <c r="J315" s="45"/>
      <c r="K315" s="2"/>
    </row>
    <row r="316" spans="2:16" x14ac:dyDescent="0.25">
      <c r="B316" s="45">
        <v>304</v>
      </c>
      <c r="C316" s="45" t="s">
        <v>379</v>
      </c>
      <c r="D316" s="45" t="s">
        <v>388</v>
      </c>
      <c r="E316" s="60">
        <v>300000</v>
      </c>
      <c r="F316" s="45" t="s">
        <v>388</v>
      </c>
      <c r="G316" s="45" t="s">
        <v>34</v>
      </c>
      <c r="H316" s="45">
        <v>2</v>
      </c>
      <c r="I316" s="45"/>
      <c r="J316" s="45"/>
      <c r="K316" s="2"/>
    </row>
    <row r="317" spans="2:16" x14ac:dyDescent="0.25">
      <c r="B317" s="45">
        <v>305</v>
      </c>
      <c r="C317" s="45" t="s">
        <v>379</v>
      </c>
      <c r="D317" s="45" t="s">
        <v>717</v>
      </c>
      <c r="E317" s="60">
        <v>150000</v>
      </c>
      <c r="F317" s="45" t="s">
        <v>717</v>
      </c>
      <c r="G317" s="45" t="s">
        <v>34</v>
      </c>
      <c r="H317" s="45">
        <v>1</v>
      </c>
      <c r="I317" s="45"/>
      <c r="J317" s="45"/>
      <c r="K317" s="2"/>
    </row>
    <row r="318" spans="2:16" x14ac:dyDescent="0.25">
      <c r="B318" s="45">
        <v>306</v>
      </c>
      <c r="C318" s="45" t="s">
        <v>379</v>
      </c>
      <c r="D318" s="45" t="s">
        <v>344</v>
      </c>
      <c r="E318" s="60">
        <v>150000</v>
      </c>
      <c r="F318" s="45" t="s">
        <v>344</v>
      </c>
      <c r="G318" s="45" t="s">
        <v>34</v>
      </c>
      <c r="H318" s="45">
        <v>1</v>
      </c>
      <c r="I318" s="45"/>
      <c r="J318" s="45"/>
      <c r="K318" s="2"/>
    </row>
    <row r="319" spans="2:16" x14ac:dyDescent="0.25">
      <c r="B319" s="45">
        <v>307</v>
      </c>
      <c r="C319" s="45" t="s">
        <v>379</v>
      </c>
      <c r="D319" s="45" t="s">
        <v>387</v>
      </c>
      <c r="E319" s="60">
        <v>150000</v>
      </c>
      <c r="F319" s="45" t="s">
        <v>387</v>
      </c>
      <c r="G319" s="45" t="s">
        <v>34</v>
      </c>
      <c r="H319" s="45">
        <v>1</v>
      </c>
      <c r="I319" s="45"/>
      <c r="J319" s="45"/>
      <c r="K319" s="2"/>
    </row>
    <row r="320" spans="2:16" ht="30" x14ac:dyDescent="0.25">
      <c r="B320" s="45">
        <v>308</v>
      </c>
      <c r="C320" s="45" t="s">
        <v>379</v>
      </c>
      <c r="D320" s="45" t="s">
        <v>718</v>
      </c>
      <c r="E320" s="60">
        <v>150000</v>
      </c>
      <c r="F320" s="45" t="s">
        <v>718</v>
      </c>
      <c r="G320" s="45" t="s">
        <v>34</v>
      </c>
      <c r="H320" s="45">
        <v>1</v>
      </c>
      <c r="I320" s="45"/>
      <c r="J320" s="45"/>
      <c r="K320" s="2"/>
    </row>
    <row r="321" spans="2:11" x14ac:dyDescent="0.25">
      <c r="B321" s="45">
        <v>309</v>
      </c>
      <c r="C321" s="45" t="s">
        <v>379</v>
      </c>
      <c r="D321" s="45" t="s">
        <v>386</v>
      </c>
      <c r="E321" s="60">
        <v>300000</v>
      </c>
      <c r="F321" s="45" t="s">
        <v>386</v>
      </c>
      <c r="G321" s="45" t="s">
        <v>34</v>
      </c>
      <c r="H321" s="45">
        <v>2</v>
      </c>
      <c r="I321" s="45"/>
      <c r="J321" s="45"/>
      <c r="K321" s="2"/>
    </row>
    <row r="322" spans="2:11" ht="30" x14ac:dyDescent="0.25">
      <c r="B322" s="45">
        <v>310</v>
      </c>
      <c r="C322" s="45" t="s">
        <v>379</v>
      </c>
      <c r="D322" s="45" t="s">
        <v>385</v>
      </c>
      <c r="E322" s="60">
        <v>300000</v>
      </c>
      <c r="F322" s="45" t="s">
        <v>385</v>
      </c>
      <c r="G322" s="45" t="s">
        <v>34</v>
      </c>
      <c r="H322" s="45">
        <v>2</v>
      </c>
      <c r="I322" s="45"/>
      <c r="J322" s="45"/>
      <c r="K322" s="2"/>
    </row>
    <row r="323" spans="2:11" x14ac:dyDescent="0.25">
      <c r="B323" s="45">
        <v>311</v>
      </c>
      <c r="C323" s="45" t="s">
        <v>379</v>
      </c>
      <c r="D323" s="45" t="s">
        <v>384</v>
      </c>
      <c r="E323" s="60">
        <v>750000</v>
      </c>
      <c r="F323" s="45" t="s">
        <v>384</v>
      </c>
      <c r="G323" s="45" t="s">
        <v>34</v>
      </c>
      <c r="H323" s="45">
        <v>5</v>
      </c>
      <c r="I323" s="45"/>
      <c r="J323" s="45"/>
      <c r="K323" s="2"/>
    </row>
    <row r="324" spans="2:11" x14ac:dyDescent="0.25">
      <c r="B324" s="45">
        <v>312</v>
      </c>
      <c r="C324" s="45" t="s">
        <v>379</v>
      </c>
      <c r="D324" s="45" t="s">
        <v>383</v>
      </c>
      <c r="E324" s="60">
        <v>150000</v>
      </c>
      <c r="F324" s="45" t="s">
        <v>383</v>
      </c>
      <c r="G324" s="45" t="s">
        <v>34</v>
      </c>
      <c r="H324" s="45">
        <v>1</v>
      </c>
      <c r="I324" s="45"/>
      <c r="J324" s="45"/>
      <c r="K324" s="2"/>
    </row>
    <row r="325" spans="2:11" ht="30" x14ac:dyDescent="0.25">
      <c r="B325" s="45">
        <v>313</v>
      </c>
      <c r="C325" s="45" t="s">
        <v>379</v>
      </c>
      <c r="D325" s="45" t="s">
        <v>382</v>
      </c>
      <c r="E325" s="60">
        <v>330000</v>
      </c>
      <c r="F325" s="45" t="s">
        <v>382</v>
      </c>
      <c r="G325" s="45" t="s">
        <v>35</v>
      </c>
      <c r="H325" s="45">
        <v>3</v>
      </c>
      <c r="I325" s="45"/>
      <c r="J325" s="45"/>
      <c r="K325" s="2"/>
    </row>
    <row r="326" spans="2:11" x14ac:dyDescent="0.25">
      <c r="B326" s="45">
        <v>314</v>
      </c>
      <c r="C326" s="45" t="s">
        <v>379</v>
      </c>
      <c r="D326" s="45" t="s">
        <v>381</v>
      </c>
      <c r="E326" s="60">
        <v>200000</v>
      </c>
      <c r="F326" s="45" t="s">
        <v>381</v>
      </c>
      <c r="G326" s="45" t="s">
        <v>33</v>
      </c>
      <c r="H326" s="45">
        <v>2</v>
      </c>
      <c r="I326" s="45"/>
      <c r="J326" s="45"/>
      <c r="K326" s="2"/>
    </row>
    <row r="327" spans="2:11" x14ac:dyDescent="0.25">
      <c r="B327" s="45">
        <v>315</v>
      </c>
      <c r="C327" s="45" t="s">
        <v>379</v>
      </c>
      <c r="D327" s="45" t="s">
        <v>380</v>
      </c>
      <c r="E327" s="60">
        <v>110000</v>
      </c>
      <c r="F327" s="66" t="s">
        <v>356</v>
      </c>
      <c r="G327" s="45" t="s">
        <v>35</v>
      </c>
      <c r="H327" s="45">
        <v>1</v>
      </c>
      <c r="I327" s="45"/>
      <c r="J327" s="45"/>
      <c r="K327" s="2"/>
    </row>
    <row r="328" spans="2:11" x14ac:dyDescent="0.25">
      <c r="B328" s="45">
        <v>316</v>
      </c>
      <c r="C328" s="45" t="s">
        <v>359</v>
      </c>
      <c r="D328" s="45" t="s">
        <v>378</v>
      </c>
      <c r="E328" s="60">
        <v>110000</v>
      </c>
      <c r="F328" s="45" t="s">
        <v>378</v>
      </c>
      <c r="G328" s="45" t="s">
        <v>35</v>
      </c>
      <c r="H328" s="45">
        <v>1</v>
      </c>
      <c r="I328" s="45"/>
      <c r="J328" s="45"/>
      <c r="K328" s="2"/>
    </row>
    <row r="329" spans="2:11" x14ac:dyDescent="0.25">
      <c r="B329" s="45">
        <v>317</v>
      </c>
      <c r="C329" s="45" t="s">
        <v>359</v>
      </c>
      <c r="D329" s="45" t="s">
        <v>377</v>
      </c>
      <c r="E329" s="60">
        <v>300000</v>
      </c>
      <c r="F329" s="45" t="s">
        <v>377</v>
      </c>
      <c r="G329" s="45" t="s">
        <v>34</v>
      </c>
      <c r="H329" s="45">
        <v>2</v>
      </c>
      <c r="I329" s="45"/>
      <c r="J329" s="45"/>
      <c r="K329" s="2"/>
    </row>
    <row r="330" spans="2:11" x14ac:dyDescent="0.25">
      <c r="B330" s="45">
        <v>318</v>
      </c>
      <c r="C330" s="45" t="s">
        <v>359</v>
      </c>
      <c r="D330" s="45" t="s">
        <v>376</v>
      </c>
      <c r="E330" s="60">
        <v>1050000</v>
      </c>
      <c r="F330" s="66" t="s">
        <v>338</v>
      </c>
      <c r="G330" s="45" t="s">
        <v>34</v>
      </c>
      <c r="H330" s="45">
        <v>7</v>
      </c>
      <c r="I330" s="45"/>
      <c r="J330" s="45"/>
      <c r="K330" s="2"/>
    </row>
    <row r="331" spans="2:11" x14ac:dyDescent="0.25">
      <c r="B331" s="45">
        <v>319</v>
      </c>
      <c r="C331" s="45" t="s">
        <v>359</v>
      </c>
      <c r="D331" s="45" t="s">
        <v>375</v>
      </c>
      <c r="E331" s="60">
        <v>110000</v>
      </c>
      <c r="F331" s="45" t="s">
        <v>375</v>
      </c>
      <c r="G331" s="45" t="s">
        <v>35</v>
      </c>
      <c r="H331" s="45">
        <v>1</v>
      </c>
      <c r="I331" s="45"/>
      <c r="J331" s="45"/>
      <c r="K331" s="2"/>
    </row>
    <row r="332" spans="2:11" x14ac:dyDescent="0.25">
      <c r="B332" s="45">
        <v>320</v>
      </c>
      <c r="C332" s="45" t="s">
        <v>359</v>
      </c>
      <c r="D332" s="45" t="s">
        <v>374</v>
      </c>
      <c r="E332" s="60">
        <v>220000</v>
      </c>
      <c r="F332" s="45" t="s">
        <v>374</v>
      </c>
      <c r="G332" s="45" t="s">
        <v>35</v>
      </c>
      <c r="H332" s="45">
        <v>2</v>
      </c>
      <c r="I332" s="45"/>
      <c r="J332" s="45"/>
      <c r="K332" s="2"/>
    </row>
    <row r="333" spans="2:11" ht="30" x14ac:dyDescent="0.25">
      <c r="B333" s="45">
        <v>321</v>
      </c>
      <c r="C333" s="45" t="s">
        <v>359</v>
      </c>
      <c r="D333" s="45" t="s">
        <v>373</v>
      </c>
      <c r="E333" s="60">
        <v>600000</v>
      </c>
      <c r="F333" s="45" t="s">
        <v>373</v>
      </c>
      <c r="G333" s="45" t="s">
        <v>34</v>
      </c>
      <c r="H333" s="45">
        <v>4</v>
      </c>
      <c r="I333" s="45"/>
      <c r="J333" s="45"/>
      <c r="K333" s="2"/>
    </row>
    <row r="334" spans="2:11" x14ac:dyDescent="0.25">
      <c r="B334" s="45">
        <v>322</v>
      </c>
      <c r="C334" s="45" t="s">
        <v>359</v>
      </c>
      <c r="D334" s="62" t="s">
        <v>372</v>
      </c>
      <c r="E334" s="60">
        <v>150000</v>
      </c>
      <c r="F334" s="69" t="s">
        <v>336</v>
      </c>
      <c r="G334" s="45" t="s">
        <v>34</v>
      </c>
      <c r="H334" s="45">
        <v>1</v>
      </c>
      <c r="I334" s="45"/>
      <c r="J334" s="45"/>
      <c r="K334" s="2"/>
    </row>
    <row r="335" spans="2:11" x14ac:dyDescent="0.25">
      <c r="B335" s="45">
        <v>323</v>
      </c>
      <c r="C335" s="45" t="s">
        <v>359</v>
      </c>
      <c r="D335" s="45" t="s">
        <v>371</v>
      </c>
      <c r="E335" s="60">
        <v>150000</v>
      </c>
      <c r="F335" s="45" t="s">
        <v>371</v>
      </c>
      <c r="G335" s="45" t="s">
        <v>34</v>
      </c>
      <c r="H335" s="45">
        <v>1</v>
      </c>
      <c r="I335" s="45"/>
      <c r="J335" s="45"/>
      <c r="K335" s="2"/>
    </row>
    <row r="336" spans="2:11" x14ac:dyDescent="0.25">
      <c r="B336" s="45">
        <v>324</v>
      </c>
      <c r="C336" s="45" t="s">
        <v>359</v>
      </c>
      <c r="D336" s="45" t="s">
        <v>370</v>
      </c>
      <c r="E336" s="60">
        <v>450000</v>
      </c>
      <c r="F336" s="69" t="s">
        <v>745</v>
      </c>
      <c r="G336" s="45" t="s">
        <v>34</v>
      </c>
      <c r="H336" s="45">
        <v>3</v>
      </c>
      <c r="I336" s="45"/>
      <c r="J336" s="45"/>
      <c r="K336" s="2"/>
    </row>
    <row r="337" spans="2:11" x14ac:dyDescent="0.25">
      <c r="B337" s="45">
        <v>325</v>
      </c>
      <c r="C337" s="45" t="s">
        <v>359</v>
      </c>
      <c r="D337" s="45" t="s">
        <v>369</v>
      </c>
      <c r="E337" s="60">
        <v>110000</v>
      </c>
      <c r="F337" s="45" t="s">
        <v>369</v>
      </c>
      <c r="G337" s="45" t="s">
        <v>35</v>
      </c>
      <c r="H337" s="45">
        <v>1</v>
      </c>
      <c r="I337" s="45"/>
      <c r="J337" s="45"/>
      <c r="K337" s="2"/>
    </row>
    <row r="338" spans="2:11" x14ac:dyDescent="0.25">
      <c r="B338" s="45">
        <v>326</v>
      </c>
      <c r="C338" s="45" t="s">
        <v>359</v>
      </c>
      <c r="D338" s="45" t="s">
        <v>368</v>
      </c>
      <c r="E338" s="60">
        <v>220000</v>
      </c>
      <c r="F338" s="45" t="s">
        <v>368</v>
      </c>
      <c r="G338" s="45" t="s">
        <v>35</v>
      </c>
      <c r="H338" s="45">
        <v>2</v>
      </c>
      <c r="I338" s="45"/>
      <c r="J338" s="45"/>
      <c r="K338" s="2"/>
    </row>
    <row r="339" spans="2:11" x14ac:dyDescent="0.25">
      <c r="B339" s="45">
        <v>327</v>
      </c>
      <c r="C339" s="45" t="s">
        <v>359</v>
      </c>
      <c r="D339" s="45" t="s">
        <v>367</v>
      </c>
      <c r="E339" s="60">
        <v>220000</v>
      </c>
      <c r="F339" s="45" t="s">
        <v>367</v>
      </c>
      <c r="G339" s="45" t="s">
        <v>35</v>
      </c>
      <c r="H339" s="45">
        <v>2</v>
      </c>
      <c r="I339" s="45"/>
      <c r="J339" s="45"/>
      <c r="K339" s="2"/>
    </row>
    <row r="340" spans="2:11" ht="30" x14ac:dyDescent="0.25">
      <c r="B340" s="45">
        <v>328</v>
      </c>
      <c r="C340" s="45" t="s">
        <v>359</v>
      </c>
      <c r="D340" s="45" t="s">
        <v>366</v>
      </c>
      <c r="E340" s="60">
        <v>150000</v>
      </c>
      <c r="F340" s="45" t="s">
        <v>366</v>
      </c>
      <c r="G340" s="45" t="s">
        <v>34</v>
      </c>
      <c r="H340" s="45">
        <v>1</v>
      </c>
      <c r="I340" s="45"/>
      <c r="J340" s="45"/>
      <c r="K340" s="2"/>
    </row>
    <row r="341" spans="2:11" x14ac:dyDescent="0.25">
      <c r="B341" s="45">
        <v>329</v>
      </c>
      <c r="C341" s="45" t="s">
        <v>359</v>
      </c>
      <c r="D341" s="45" t="s">
        <v>365</v>
      </c>
      <c r="E341" s="60">
        <v>300000</v>
      </c>
      <c r="F341" s="45" t="s">
        <v>365</v>
      </c>
      <c r="G341" s="45" t="s">
        <v>34</v>
      </c>
      <c r="H341" s="45">
        <v>2</v>
      </c>
      <c r="I341" s="45"/>
      <c r="J341" s="45"/>
      <c r="K341" s="2"/>
    </row>
    <row r="342" spans="2:11" x14ac:dyDescent="0.25">
      <c r="B342" s="45">
        <v>330</v>
      </c>
      <c r="C342" s="45" t="s">
        <v>359</v>
      </c>
      <c r="D342" s="45" t="s">
        <v>364</v>
      </c>
      <c r="E342" s="60">
        <v>110000</v>
      </c>
      <c r="F342" s="45" t="s">
        <v>364</v>
      </c>
      <c r="G342" s="45" t="s">
        <v>35</v>
      </c>
      <c r="H342" s="45">
        <v>1</v>
      </c>
      <c r="I342" s="45"/>
      <c r="J342" s="45"/>
      <c r="K342" s="2"/>
    </row>
    <row r="343" spans="2:11" x14ac:dyDescent="0.25">
      <c r="B343" s="45">
        <v>331</v>
      </c>
      <c r="C343" s="45" t="s">
        <v>359</v>
      </c>
      <c r="D343" s="45" t="s">
        <v>363</v>
      </c>
      <c r="E343" s="60">
        <v>150000</v>
      </c>
      <c r="F343" s="69" t="s">
        <v>715</v>
      </c>
      <c r="G343" s="45" t="s">
        <v>34</v>
      </c>
      <c r="H343" s="45">
        <v>1</v>
      </c>
      <c r="I343" s="45"/>
      <c r="J343" s="45"/>
      <c r="K343" s="2"/>
    </row>
    <row r="344" spans="2:11" x14ac:dyDescent="0.25">
      <c r="B344" s="45">
        <v>332</v>
      </c>
      <c r="C344" s="45" t="s">
        <v>359</v>
      </c>
      <c r="D344" s="45" t="s">
        <v>362</v>
      </c>
      <c r="E344" s="60">
        <v>150000</v>
      </c>
      <c r="F344" s="45" t="s">
        <v>362</v>
      </c>
      <c r="G344" s="45" t="s">
        <v>34</v>
      </c>
      <c r="H344" s="45">
        <v>1</v>
      </c>
      <c r="I344" s="45"/>
      <c r="J344" s="45"/>
      <c r="K344" s="2"/>
    </row>
    <row r="345" spans="2:11" x14ac:dyDescent="0.25">
      <c r="B345" s="45">
        <v>333</v>
      </c>
      <c r="C345" s="45" t="s">
        <v>359</v>
      </c>
      <c r="D345" s="45" t="s">
        <v>361</v>
      </c>
      <c r="E345" s="60">
        <v>150000</v>
      </c>
      <c r="F345" s="45" t="s">
        <v>716</v>
      </c>
      <c r="G345" s="45" t="s">
        <v>34</v>
      </c>
      <c r="H345" s="45">
        <v>1</v>
      </c>
      <c r="I345" s="45"/>
      <c r="J345" s="45"/>
      <c r="K345" s="2"/>
    </row>
    <row r="346" spans="2:11" x14ac:dyDescent="0.25">
      <c r="B346" s="45">
        <v>334</v>
      </c>
      <c r="C346" s="45" t="s">
        <v>359</v>
      </c>
      <c r="D346" s="45" t="s">
        <v>360</v>
      </c>
      <c r="E346" s="60">
        <v>150000</v>
      </c>
      <c r="F346" s="45" t="s">
        <v>360</v>
      </c>
      <c r="G346" s="45" t="s">
        <v>34</v>
      </c>
      <c r="H346" s="45">
        <v>1</v>
      </c>
      <c r="I346" s="45"/>
      <c r="J346" s="45"/>
      <c r="K346" s="2"/>
    </row>
    <row r="347" spans="2:11" ht="28.5" customHeight="1" x14ac:dyDescent="0.25">
      <c r="B347" s="45">
        <v>335</v>
      </c>
      <c r="C347" s="45" t="s">
        <v>359</v>
      </c>
      <c r="D347" s="45" t="s">
        <v>650</v>
      </c>
      <c r="E347" s="60">
        <v>300000</v>
      </c>
      <c r="F347" s="45" t="s">
        <v>650</v>
      </c>
      <c r="G347" s="45" t="s">
        <v>34</v>
      </c>
      <c r="H347" s="45">
        <v>2</v>
      </c>
      <c r="I347" s="19"/>
      <c r="J347" s="45"/>
      <c r="K347" s="2"/>
    </row>
    <row r="348" spans="2:11" ht="30" x14ac:dyDescent="0.25">
      <c r="B348" s="45">
        <v>336</v>
      </c>
      <c r="C348" s="45" t="s">
        <v>359</v>
      </c>
      <c r="D348" s="45" t="s">
        <v>651</v>
      </c>
      <c r="E348" s="60">
        <v>110000</v>
      </c>
      <c r="F348" s="45" t="s">
        <v>651</v>
      </c>
      <c r="G348" s="45" t="s">
        <v>35</v>
      </c>
      <c r="H348" s="45">
        <v>1</v>
      </c>
      <c r="I348" s="19"/>
      <c r="J348" s="45"/>
      <c r="K348" s="2"/>
    </row>
    <row r="349" spans="2:11" x14ac:dyDescent="0.25">
      <c r="B349" s="45">
        <v>337</v>
      </c>
      <c r="C349" s="45" t="s">
        <v>359</v>
      </c>
      <c r="D349" s="45" t="s">
        <v>652</v>
      </c>
      <c r="E349" s="60">
        <v>220000</v>
      </c>
      <c r="F349" s="45" t="s">
        <v>652</v>
      </c>
      <c r="G349" s="45" t="s">
        <v>35</v>
      </c>
      <c r="H349" s="45">
        <v>2</v>
      </c>
      <c r="I349" s="19"/>
      <c r="J349" s="45"/>
      <c r="K349" s="2"/>
    </row>
    <row r="350" spans="2:11" x14ac:dyDescent="0.25">
      <c r="B350" s="45">
        <v>338</v>
      </c>
      <c r="C350" s="45" t="s">
        <v>359</v>
      </c>
      <c r="D350" s="45" t="s">
        <v>652</v>
      </c>
      <c r="E350" s="60">
        <v>220000</v>
      </c>
      <c r="F350" s="45" t="s">
        <v>652</v>
      </c>
      <c r="G350" s="45" t="s">
        <v>35</v>
      </c>
      <c r="H350" s="45">
        <v>2</v>
      </c>
      <c r="I350" s="19"/>
      <c r="J350" s="45"/>
      <c r="K350" s="2"/>
    </row>
    <row r="351" spans="2:11" x14ac:dyDescent="0.25">
      <c r="B351" s="45">
        <v>339</v>
      </c>
      <c r="C351" s="45" t="s">
        <v>359</v>
      </c>
      <c r="D351" s="45" t="s">
        <v>653</v>
      </c>
      <c r="E351" s="60">
        <v>300000</v>
      </c>
      <c r="F351" s="45" t="s">
        <v>653</v>
      </c>
      <c r="G351" s="45" t="s">
        <v>34</v>
      </c>
      <c r="H351" s="19">
        <v>2</v>
      </c>
      <c r="I351" s="19"/>
      <c r="J351" s="45"/>
      <c r="K351" s="2"/>
    </row>
    <row r="352" spans="2:11" x14ac:dyDescent="0.25">
      <c r="B352" s="45">
        <v>340</v>
      </c>
      <c r="C352" s="45" t="s">
        <v>676</v>
      </c>
      <c r="D352" s="45" t="s">
        <v>674</v>
      </c>
      <c r="E352" s="23">
        <v>220000</v>
      </c>
      <c r="F352" s="34" t="s">
        <v>675</v>
      </c>
      <c r="G352" s="45" t="s">
        <v>35</v>
      </c>
      <c r="H352" s="45">
        <v>2</v>
      </c>
      <c r="I352" s="3"/>
      <c r="J352" s="3"/>
    </row>
    <row r="353" spans="2:10" x14ac:dyDescent="0.25">
      <c r="B353" s="45">
        <v>341</v>
      </c>
      <c r="C353" s="45" t="s">
        <v>676</v>
      </c>
      <c r="D353" s="45" t="s">
        <v>677</v>
      </c>
      <c r="E353" s="23">
        <v>200000</v>
      </c>
      <c r="F353" s="66" t="s">
        <v>714</v>
      </c>
      <c r="G353" s="45" t="s">
        <v>33</v>
      </c>
      <c r="H353" s="45">
        <v>1</v>
      </c>
      <c r="I353" s="3"/>
      <c r="J353" s="3"/>
    </row>
    <row r="354" spans="2:10" x14ac:dyDescent="0.25">
      <c r="B354" s="45">
        <v>342</v>
      </c>
      <c r="C354" s="45" t="s">
        <v>676</v>
      </c>
      <c r="D354" s="45" t="s">
        <v>677</v>
      </c>
      <c r="E354" s="23">
        <v>220000</v>
      </c>
      <c r="F354" s="45" t="s">
        <v>677</v>
      </c>
      <c r="G354" s="45" t="s">
        <v>35</v>
      </c>
      <c r="H354" s="45">
        <v>2</v>
      </c>
      <c r="I354" s="3"/>
      <c r="J354" s="3"/>
    </row>
    <row r="355" spans="2:10" x14ac:dyDescent="0.25">
      <c r="B355" s="45">
        <v>343</v>
      </c>
      <c r="C355" s="45" t="s">
        <v>676</v>
      </c>
      <c r="D355" s="45" t="s">
        <v>678</v>
      </c>
      <c r="E355" s="23">
        <v>150000</v>
      </c>
      <c r="F355" s="45" t="s">
        <v>678</v>
      </c>
      <c r="G355" s="45" t="s">
        <v>34</v>
      </c>
      <c r="H355" s="45">
        <v>1</v>
      </c>
      <c r="I355" s="3"/>
      <c r="J355" s="3"/>
    </row>
    <row r="356" spans="2:10" x14ac:dyDescent="0.25">
      <c r="B356" s="45">
        <v>344</v>
      </c>
      <c r="C356" s="45" t="s">
        <v>676</v>
      </c>
      <c r="D356" s="45" t="s">
        <v>679</v>
      </c>
      <c r="E356" s="23">
        <v>150000</v>
      </c>
      <c r="F356" s="34" t="s">
        <v>752</v>
      </c>
      <c r="G356" s="45" t="s">
        <v>34</v>
      </c>
      <c r="H356" s="45">
        <v>1</v>
      </c>
      <c r="I356" s="3"/>
      <c r="J356" s="3"/>
    </row>
    <row r="357" spans="2:10" x14ac:dyDescent="0.25">
      <c r="B357" s="45">
        <v>345</v>
      </c>
      <c r="C357" s="45" t="s">
        <v>676</v>
      </c>
      <c r="D357" s="45" t="s">
        <v>679</v>
      </c>
      <c r="E357" s="23">
        <v>150000</v>
      </c>
      <c r="F357" s="34" t="s">
        <v>750</v>
      </c>
      <c r="G357" s="45" t="s">
        <v>34</v>
      </c>
      <c r="H357" s="45">
        <v>1</v>
      </c>
      <c r="I357" s="3"/>
      <c r="J357" s="3"/>
    </row>
    <row r="358" spans="2:10" x14ac:dyDescent="0.25">
      <c r="B358" s="45">
        <v>346</v>
      </c>
      <c r="C358" s="45" t="s">
        <v>676</v>
      </c>
      <c r="D358" s="45" t="s">
        <v>679</v>
      </c>
      <c r="E358" s="23">
        <v>150000</v>
      </c>
      <c r="F358" s="34" t="s">
        <v>749</v>
      </c>
      <c r="G358" s="45" t="s">
        <v>34</v>
      </c>
      <c r="H358" s="45">
        <v>1</v>
      </c>
      <c r="I358" s="3"/>
      <c r="J358" s="3"/>
    </row>
    <row r="359" spans="2:10" x14ac:dyDescent="0.25">
      <c r="B359" s="45">
        <v>347</v>
      </c>
      <c r="C359" s="45" t="s">
        <v>676</v>
      </c>
      <c r="D359" s="45" t="s">
        <v>595</v>
      </c>
      <c r="E359" s="23">
        <v>200000</v>
      </c>
      <c r="F359" s="66" t="s">
        <v>711</v>
      </c>
      <c r="G359" s="45" t="s">
        <v>33</v>
      </c>
      <c r="H359" s="45">
        <v>1</v>
      </c>
      <c r="I359" s="3"/>
      <c r="J359" s="3"/>
    </row>
    <row r="360" spans="2:10" x14ac:dyDescent="0.25">
      <c r="B360" s="45">
        <v>348</v>
      </c>
      <c r="C360" s="45" t="s">
        <v>676</v>
      </c>
      <c r="D360" s="45" t="s">
        <v>680</v>
      </c>
      <c r="E360" s="23">
        <v>300000</v>
      </c>
      <c r="F360" s="34" t="s">
        <v>712</v>
      </c>
      <c r="G360" s="45" t="s">
        <v>34</v>
      </c>
      <c r="H360" s="45">
        <v>2</v>
      </c>
      <c r="I360" s="3"/>
      <c r="J360" s="3"/>
    </row>
    <row r="361" spans="2:10" x14ac:dyDescent="0.25">
      <c r="B361" s="45">
        <v>349</v>
      </c>
      <c r="C361" s="45" t="s">
        <v>676</v>
      </c>
      <c r="D361" s="45" t="s">
        <v>681</v>
      </c>
      <c r="E361" s="23">
        <v>110000</v>
      </c>
      <c r="F361" s="45" t="s">
        <v>681</v>
      </c>
      <c r="G361" s="45" t="s">
        <v>35</v>
      </c>
      <c r="H361" s="45">
        <v>1</v>
      </c>
      <c r="I361" s="3"/>
      <c r="J361" s="3"/>
    </row>
    <row r="362" spans="2:10" ht="30" x14ac:dyDescent="0.25">
      <c r="B362" s="45">
        <v>350</v>
      </c>
      <c r="C362" s="45" t="s">
        <v>676</v>
      </c>
      <c r="D362" s="45" t="s">
        <v>682</v>
      </c>
      <c r="E362" s="23">
        <v>150000</v>
      </c>
      <c r="F362" s="45" t="s">
        <v>682</v>
      </c>
      <c r="G362" s="45" t="s">
        <v>34</v>
      </c>
      <c r="H362" s="45">
        <v>1</v>
      </c>
      <c r="I362" s="3"/>
      <c r="J362" s="3"/>
    </row>
    <row r="363" spans="2:10" x14ac:dyDescent="0.25">
      <c r="B363" s="45">
        <v>351</v>
      </c>
      <c r="C363" s="45" t="s">
        <v>676</v>
      </c>
      <c r="D363" s="45" t="s">
        <v>679</v>
      </c>
      <c r="E363" s="23">
        <v>150000</v>
      </c>
      <c r="F363" s="45" t="s">
        <v>679</v>
      </c>
      <c r="G363" s="45" t="s">
        <v>34</v>
      </c>
      <c r="H363" s="45">
        <v>1</v>
      </c>
      <c r="I363" s="3"/>
      <c r="J363" s="3"/>
    </row>
    <row r="364" spans="2:10" x14ac:dyDescent="0.25">
      <c r="B364" s="45">
        <v>352</v>
      </c>
      <c r="C364" s="45" t="s">
        <v>676</v>
      </c>
      <c r="D364" s="45" t="s">
        <v>683</v>
      </c>
      <c r="E364" s="23">
        <v>450000</v>
      </c>
      <c r="F364" s="34" t="s">
        <v>683</v>
      </c>
      <c r="G364" s="45" t="s">
        <v>34</v>
      </c>
      <c r="H364" s="45">
        <v>3</v>
      </c>
      <c r="I364" s="3"/>
      <c r="J364" s="3"/>
    </row>
    <row r="365" spans="2:10" x14ac:dyDescent="0.25">
      <c r="B365" s="45">
        <v>353</v>
      </c>
      <c r="C365" s="45" t="s">
        <v>676</v>
      </c>
      <c r="D365" s="45" t="s">
        <v>688</v>
      </c>
      <c r="E365" s="23">
        <v>220000</v>
      </c>
      <c r="F365" s="45" t="s">
        <v>688</v>
      </c>
      <c r="G365" s="45" t="s">
        <v>35</v>
      </c>
      <c r="H365" s="45">
        <v>2</v>
      </c>
      <c r="I365" s="3"/>
      <c r="J365" s="3"/>
    </row>
    <row r="366" spans="2:10" x14ac:dyDescent="0.25">
      <c r="B366" s="45">
        <v>354</v>
      </c>
      <c r="C366" s="45" t="s">
        <v>676</v>
      </c>
      <c r="D366" s="45" t="s">
        <v>689</v>
      </c>
      <c r="E366" s="23">
        <v>110000</v>
      </c>
      <c r="F366" s="45" t="s">
        <v>689</v>
      </c>
      <c r="G366" s="45" t="s">
        <v>35</v>
      </c>
      <c r="H366" s="45">
        <v>1</v>
      </c>
      <c r="I366" s="3"/>
      <c r="J366" s="3"/>
    </row>
    <row r="367" spans="2:10" x14ac:dyDescent="0.25">
      <c r="B367" s="45">
        <v>355</v>
      </c>
      <c r="C367" s="45" t="s">
        <v>676</v>
      </c>
      <c r="D367" s="45" t="s">
        <v>690</v>
      </c>
      <c r="E367" s="23">
        <v>110000</v>
      </c>
      <c r="F367" s="45" t="s">
        <v>690</v>
      </c>
      <c r="G367" s="45" t="s">
        <v>35</v>
      </c>
      <c r="H367" s="45">
        <v>1</v>
      </c>
      <c r="I367" s="3"/>
      <c r="J367" s="3"/>
    </row>
    <row r="368" spans="2:10" x14ac:dyDescent="0.25">
      <c r="B368" s="45">
        <v>356</v>
      </c>
      <c r="C368" s="45" t="s">
        <v>676</v>
      </c>
      <c r="D368" s="45" t="s">
        <v>691</v>
      </c>
      <c r="E368" s="23">
        <v>150000</v>
      </c>
      <c r="F368" s="69" t="s">
        <v>691</v>
      </c>
      <c r="G368" s="45" t="s">
        <v>34</v>
      </c>
      <c r="H368" s="45">
        <v>1</v>
      </c>
      <c r="I368" s="3"/>
      <c r="J368" s="3"/>
    </row>
    <row r="369" spans="2:13" x14ac:dyDescent="0.25">
      <c r="B369" s="45">
        <v>357</v>
      </c>
      <c r="C369" s="45" t="s">
        <v>676</v>
      </c>
      <c r="D369" s="45" t="s">
        <v>692</v>
      </c>
      <c r="E369" s="23">
        <v>200000</v>
      </c>
      <c r="F369" s="66" t="s">
        <v>710</v>
      </c>
      <c r="G369" s="45" t="s">
        <v>33</v>
      </c>
      <c r="H369" s="45">
        <v>1</v>
      </c>
      <c r="I369" s="3"/>
      <c r="J369" s="3"/>
    </row>
    <row r="370" spans="2:13" x14ac:dyDescent="0.25">
      <c r="B370" s="45">
        <v>358</v>
      </c>
      <c r="C370" s="45" t="s">
        <v>676</v>
      </c>
      <c r="D370" s="45" t="s">
        <v>693</v>
      </c>
      <c r="E370" s="23">
        <v>300000</v>
      </c>
      <c r="F370" s="34" t="s">
        <v>709</v>
      </c>
      <c r="G370" s="45" t="s">
        <v>34</v>
      </c>
      <c r="H370" s="45">
        <v>2</v>
      </c>
      <c r="I370" s="3"/>
      <c r="J370" s="3"/>
    </row>
    <row r="371" spans="2:13" x14ac:dyDescent="0.25">
      <c r="B371" s="45">
        <v>359</v>
      </c>
      <c r="C371" s="45" t="s">
        <v>676</v>
      </c>
      <c r="D371" s="45" t="s">
        <v>694</v>
      </c>
      <c r="E371" s="23">
        <v>400000</v>
      </c>
      <c r="F371" s="45" t="s">
        <v>694</v>
      </c>
      <c r="G371" s="45" t="s">
        <v>33</v>
      </c>
      <c r="H371" s="45">
        <v>2</v>
      </c>
      <c r="I371" s="3"/>
      <c r="J371" s="3"/>
    </row>
    <row r="372" spans="2:13" x14ac:dyDescent="0.25">
      <c r="B372" s="45">
        <v>360</v>
      </c>
      <c r="C372" s="45" t="s">
        <v>676</v>
      </c>
      <c r="D372" s="45" t="s">
        <v>695</v>
      </c>
      <c r="E372" s="23">
        <v>4000000</v>
      </c>
      <c r="F372" s="34"/>
      <c r="G372" s="45" t="s">
        <v>33</v>
      </c>
      <c r="H372" s="45">
        <v>20</v>
      </c>
      <c r="I372" s="3"/>
      <c r="J372" s="3"/>
    </row>
    <row r="373" spans="2:13" x14ac:dyDescent="0.25">
      <c r="B373" s="45">
        <v>361</v>
      </c>
      <c r="C373" s="45" t="s">
        <v>676</v>
      </c>
      <c r="D373" s="45" t="s">
        <v>696</v>
      </c>
      <c r="E373" s="23">
        <v>300000</v>
      </c>
      <c r="F373" s="34" t="s">
        <v>708</v>
      </c>
      <c r="G373" s="45" t="s">
        <v>34</v>
      </c>
      <c r="H373" s="45">
        <v>2</v>
      </c>
      <c r="I373" s="3"/>
      <c r="J373" s="3"/>
    </row>
    <row r="374" spans="2:13" x14ac:dyDescent="0.25">
      <c r="B374" s="45">
        <v>362</v>
      </c>
      <c r="C374" s="45" t="s">
        <v>676</v>
      </c>
      <c r="D374" s="45" t="s">
        <v>697</v>
      </c>
      <c r="E374" s="23">
        <v>300000</v>
      </c>
      <c r="F374" s="34" t="s">
        <v>707</v>
      </c>
      <c r="G374" s="45" t="s">
        <v>34</v>
      </c>
      <c r="H374" s="45">
        <v>2</v>
      </c>
      <c r="I374" s="3"/>
      <c r="J374" s="3"/>
    </row>
    <row r="375" spans="2:13" x14ac:dyDescent="0.25">
      <c r="B375" s="45">
        <v>363</v>
      </c>
      <c r="C375" s="45" t="s">
        <v>676</v>
      </c>
      <c r="D375" s="45" t="s">
        <v>698</v>
      </c>
      <c r="E375" s="23">
        <v>110000</v>
      </c>
      <c r="F375" s="69" t="s">
        <v>698</v>
      </c>
      <c r="G375" s="45" t="s">
        <v>310</v>
      </c>
      <c r="H375" s="45">
        <v>1</v>
      </c>
      <c r="I375" s="3"/>
      <c r="J375" s="3"/>
    </row>
    <row r="376" spans="2:13" ht="30" x14ac:dyDescent="0.25">
      <c r="B376" s="45">
        <v>364</v>
      </c>
      <c r="C376" s="45" t="s">
        <v>676</v>
      </c>
      <c r="D376" s="45" t="s">
        <v>699</v>
      </c>
      <c r="E376" s="23">
        <v>200000</v>
      </c>
      <c r="F376" s="69" t="s">
        <v>699</v>
      </c>
      <c r="G376" s="45" t="s">
        <v>33</v>
      </c>
      <c r="H376" s="45">
        <v>1</v>
      </c>
      <c r="I376" s="3"/>
      <c r="J376" s="3"/>
    </row>
    <row r="377" spans="2:13" x14ac:dyDescent="0.25">
      <c r="B377" s="45">
        <v>365</v>
      </c>
      <c r="C377" s="45" t="s">
        <v>676</v>
      </c>
      <c r="D377" s="45" t="s">
        <v>700</v>
      </c>
      <c r="E377" s="23">
        <v>110000</v>
      </c>
      <c r="F377" s="69" t="s">
        <v>700</v>
      </c>
      <c r="G377" s="45" t="s">
        <v>310</v>
      </c>
      <c r="H377" s="45">
        <v>1</v>
      </c>
      <c r="I377" s="3"/>
      <c r="J377" s="3"/>
      <c r="L377" s="1" t="s">
        <v>727</v>
      </c>
      <c r="M377" s="75">
        <v>420000</v>
      </c>
    </row>
    <row r="378" spans="2:13" x14ac:dyDescent="0.25">
      <c r="B378" s="45">
        <v>366</v>
      </c>
      <c r="C378" s="45" t="s">
        <v>701</v>
      </c>
      <c r="D378" s="45" t="s">
        <v>702</v>
      </c>
      <c r="E378" s="23">
        <v>150000</v>
      </c>
      <c r="F378" s="34" t="s">
        <v>702</v>
      </c>
      <c r="G378" s="45" t="s">
        <v>34</v>
      </c>
      <c r="H378" s="45">
        <v>1</v>
      </c>
      <c r="I378" s="3"/>
      <c r="J378" s="3"/>
    </row>
    <row r="379" spans="2:13" ht="30" x14ac:dyDescent="0.25">
      <c r="B379" s="45">
        <v>367</v>
      </c>
      <c r="C379" s="77">
        <v>46245</v>
      </c>
      <c r="D379" s="45" t="s">
        <v>703</v>
      </c>
      <c r="E379" s="23">
        <v>400000</v>
      </c>
      <c r="F379" s="69" t="s">
        <v>706</v>
      </c>
      <c r="G379" s="45" t="s">
        <v>33</v>
      </c>
      <c r="H379" s="45">
        <v>2</v>
      </c>
      <c r="I379" s="3"/>
      <c r="J379" s="3"/>
    </row>
    <row r="380" spans="2:13" ht="22.5" customHeight="1" x14ac:dyDescent="0.25">
      <c r="C380" s="78">
        <v>46245</v>
      </c>
      <c r="D380" s="67" t="s">
        <v>704</v>
      </c>
      <c r="E380" s="24">
        <v>150000</v>
      </c>
      <c r="F380" s="27" t="s">
        <v>705</v>
      </c>
      <c r="G380" s="67" t="s">
        <v>34</v>
      </c>
      <c r="H380" s="67">
        <v>1</v>
      </c>
    </row>
    <row r="381" spans="2:13" ht="22.5" customHeight="1" x14ac:dyDescent="0.25">
      <c r="C381" s="78">
        <v>46245</v>
      </c>
      <c r="D381" s="67" t="s">
        <v>724</v>
      </c>
      <c r="E381" s="24">
        <v>150000</v>
      </c>
      <c r="F381" s="39" t="s">
        <v>724</v>
      </c>
      <c r="G381" s="67" t="s">
        <v>34</v>
      </c>
      <c r="H381" s="67">
        <v>1</v>
      </c>
    </row>
    <row r="382" spans="2:13" ht="25.5" customHeight="1" x14ac:dyDescent="0.25">
      <c r="C382" s="78">
        <v>46245</v>
      </c>
      <c r="D382" s="67" t="s">
        <v>725</v>
      </c>
      <c r="E382" s="24">
        <v>150000</v>
      </c>
      <c r="F382" s="39" t="s">
        <v>757</v>
      </c>
      <c r="G382" s="67" t="s">
        <v>34</v>
      </c>
      <c r="H382" s="67">
        <v>1</v>
      </c>
    </row>
    <row r="383" spans="2:13" ht="27" customHeight="1" x14ac:dyDescent="0.25">
      <c r="C383" s="78">
        <v>46245</v>
      </c>
      <c r="D383" s="67" t="s">
        <v>726</v>
      </c>
      <c r="E383" s="24">
        <v>300000</v>
      </c>
      <c r="F383" s="39" t="s">
        <v>756</v>
      </c>
      <c r="G383" s="67" t="s">
        <v>34</v>
      </c>
      <c r="H383" s="67">
        <v>2</v>
      </c>
    </row>
    <row r="384" spans="2:13" ht="27" customHeight="1" x14ac:dyDescent="0.25">
      <c r="C384" s="78">
        <v>46245</v>
      </c>
      <c r="D384" s="67" t="s">
        <v>728</v>
      </c>
      <c r="E384" s="24">
        <v>150000</v>
      </c>
      <c r="F384" s="39" t="s">
        <v>728</v>
      </c>
      <c r="G384" s="67" t="s">
        <v>34</v>
      </c>
      <c r="H384" s="67">
        <v>1</v>
      </c>
    </row>
    <row r="385" spans="3:8" ht="30" customHeight="1" x14ac:dyDescent="0.25">
      <c r="C385" s="78">
        <v>46245</v>
      </c>
      <c r="D385" s="67" t="s">
        <v>729</v>
      </c>
      <c r="E385" s="24">
        <v>300000</v>
      </c>
      <c r="F385" s="39" t="s">
        <v>729</v>
      </c>
      <c r="G385" s="67" t="s">
        <v>34</v>
      </c>
      <c r="H385" s="67">
        <v>2</v>
      </c>
    </row>
    <row r="386" spans="3:8" ht="21" customHeight="1" x14ac:dyDescent="0.25">
      <c r="C386" s="78">
        <v>46245</v>
      </c>
      <c r="D386" s="67" t="s">
        <v>386</v>
      </c>
      <c r="E386" s="24">
        <v>150000</v>
      </c>
      <c r="F386" s="39" t="s">
        <v>386</v>
      </c>
      <c r="G386" s="67" t="s">
        <v>34</v>
      </c>
      <c r="H386" s="67">
        <v>1</v>
      </c>
    </row>
    <row r="387" spans="3:8" ht="25.5" customHeight="1" x14ac:dyDescent="0.25">
      <c r="C387" s="78">
        <v>46245</v>
      </c>
      <c r="D387" s="67" t="s">
        <v>730</v>
      </c>
      <c r="E387" s="24">
        <v>150000</v>
      </c>
      <c r="F387" s="39" t="s">
        <v>755</v>
      </c>
      <c r="G387" s="67" t="s">
        <v>34</v>
      </c>
      <c r="H387" s="67">
        <v>1</v>
      </c>
    </row>
    <row r="388" spans="3:8" ht="24" customHeight="1" x14ac:dyDescent="0.25">
      <c r="C388" s="78">
        <v>46245</v>
      </c>
      <c r="D388" s="67" t="s">
        <v>731</v>
      </c>
      <c r="E388" s="24">
        <v>300000</v>
      </c>
      <c r="F388" s="39" t="s">
        <v>731</v>
      </c>
      <c r="G388" s="67" t="s">
        <v>34</v>
      </c>
      <c r="H388" s="67">
        <v>2</v>
      </c>
    </row>
    <row r="389" spans="3:8" ht="19.5" customHeight="1" x14ac:dyDescent="0.25">
      <c r="C389" s="78">
        <v>46245</v>
      </c>
      <c r="D389" s="67" t="s">
        <v>732</v>
      </c>
      <c r="E389" s="24">
        <v>300000</v>
      </c>
      <c r="F389" s="39" t="s">
        <v>751</v>
      </c>
      <c r="G389" s="67" t="s">
        <v>34</v>
      </c>
      <c r="H389" s="67">
        <v>2</v>
      </c>
    </row>
    <row r="390" spans="3:8" ht="27" customHeight="1" x14ac:dyDescent="0.25">
      <c r="C390" s="78">
        <v>46245</v>
      </c>
      <c r="D390" s="67" t="s">
        <v>733</v>
      </c>
      <c r="E390" s="24">
        <v>150000</v>
      </c>
      <c r="F390" s="39" t="s">
        <v>733</v>
      </c>
      <c r="G390" s="67" t="s">
        <v>34</v>
      </c>
      <c r="H390" s="67">
        <v>1</v>
      </c>
    </row>
    <row r="391" spans="3:8" ht="19.5" customHeight="1" x14ac:dyDescent="0.25">
      <c r="C391" s="78">
        <v>46245</v>
      </c>
      <c r="D391" s="67" t="s">
        <v>734</v>
      </c>
      <c r="E391" s="24">
        <v>220000</v>
      </c>
      <c r="F391" s="39" t="s">
        <v>734</v>
      </c>
      <c r="G391" s="67" t="s">
        <v>35</v>
      </c>
      <c r="H391" s="67">
        <v>2</v>
      </c>
    </row>
    <row r="392" spans="3:8" ht="22.5" customHeight="1" x14ac:dyDescent="0.25">
      <c r="C392" s="78">
        <v>46245</v>
      </c>
      <c r="D392" s="67" t="s">
        <v>735</v>
      </c>
      <c r="E392" s="24">
        <v>200000</v>
      </c>
      <c r="F392" s="39" t="s">
        <v>735</v>
      </c>
      <c r="G392" s="67" t="s">
        <v>33</v>
      </c>
      <c r="H392" s="67">
        <v>1</v>
      </c>
    </row>
    <row r="393" spans="3:8" ht="24" customHeight="1" x14ac:dyDescent="0.25">
      <c r="C393" s="78">
        <v>46245</v>
      </c>
      <c r="D393" s="67" t="s">
        <v>736</v>
      </c>
      <c r="E393" s="24">
        <v>300000</v>
      </c>
      <c r="F393" s="39" t="s">
        <v>736</v>
      </c>
      <c r="G393" s="67" t="s">
        <v>34</v>
      </c>
      <c r="H393" s="67">
        <v>1</v>
      </c>
    </row>
    <row r="394" spans="3:8" ht="24" customHeight="1" x14ac:dyDescent="0.25">
      <c r="C394" s="78">
        <v>46245</v>
      </c>
      <c r="D394" s="67" t="s">
        <v>737</v>
      </c>
      <c r="E394" s="24">
        <v>220000</v>
      </c>
      <c r="F394" s="39" t="s">
        <v>737</v>
      </c>
      <c r="G394" s="67" t="s">
        <v>35</v>
      </c>
      <c r="H394" s="67">
        <v>2</v>
      </c>
    </row>
    <row r="395" spans="3:8" ht="22.5" customHeight="1" x14ac:dyDescent="0.25">
      <c r="C395" s="78">
        <v>46246</v>
      </c>
      <c r="D395" s="1" t="s">
        <v>738</v>
      </c>
      <c r="E395" s="24">
        <v>110000</v>
      </c>
      <c r="F395" s="39" t="s">
        <v>738</v>
      </c>
      <c r="G395" t="s">
        <v>35</v>
      </c>
      <c r="H395" s="1">
        <v>1</v>
      </c>
    </row>
    <row r="396" spans="3:8" ht="25.5" customHeight="1" x14ac:dyDescent="0.25">
      <c r="C396" s="80">
        <v>46246</v>
      </c>
      <c r="D396" t="s">
        <v>753</v>
      </c>
      <c r="E396" s="24">
        <v>800000</v>
      </c>
      <c r="F396" s="39" t="s">
        <v>753</v>
      </c>
      <c r="G396" t="s">
        <v>35</v>
      </c>
      <c r="H396">
        <v>8</v>
      </c>
    </row>
    <row r="397" spans="3:8" ht="22.5" customHeight="1" x14ac:dyDescent="0.25">
      <c r="C397" s="80">
        <v>46246</v>
      </c>
      <c r="D397" t="s">
        <v>583</v>
      </c>
      <c r="E397" s="24">
        <v>110000</v>
      </c>
      <c r="F397" s="39" t="s">
        <v>754</v>
      </c>
      <c r="G397" t="s">
        <v>35</v>
      </c>
      <c r="H397">
        <v>1</v>
      </c>
    </row>
    <row r="398" spans="3:8" ht="21" customHeight="1" x14ac:dyDescent="0.25">
      <c r="C398" s="80">
        <v>46246</v>
      </c>
      <c r="D398" t="s">
        <v>739</v>
      </c>
      <c r="E398" s="79">
        <v>110000</v>
      </c>
      <c r="F398" s="39" t="s">
        <v>739</v>
      </c>
      <c r="G398" t="s">
        <v>35</v>
      </c>
      <c r="H398">
        <v>1</v>
      </c>
    </row>
    <row r="399" spans="3:8" ht="21" customHeight="1" x14ac:dyDescent="0.25">
      <c r="D399" t="s">
        <v>740</v>
      </c>
      <c r="E399" s="24">
        <v>600000</v>
      </c>
      <c r="F399" s="39" t="s">
        <v>744</v>
      </c>
      <c r="G399" t="s">
        <v>33</v>
      </c>
      <c r="H399">
        <v>3</v>
      </c>
    </row>
    <row r="400" spans="3:8" ht="18" customHeight="1" x14ac:dyDescent="0.25">
      <c r="D400" t="s">
        <v>741</v>
      </c>
      <c r="E400" s="24">
        <v>6000000</v>
      </c>
      <c r="G400" t="s">
        <v>33</v>
      </c>
      <c r="H400">
        <v>30</v>
      </c>
    </row>
    <row r="401" spans="3:8" ht="16.5" customHeight="1" x14ac:dyDescent="0.25">
      <c r="D401" t="s">
        <v>742</v>
      </c>
      <c r="E401" s="24">
        <v>110000</v>
      </c>
      <c r="F401" s="39" t="s">
        <v>747</v>
      </c>
      <c r="G401" t="s">
        <v>35</v>
      </c>
      <c r="H401">
        <v>1</v>
      </c>
    </row>
    <row r="402" spans="3:8" ht="19.5" customHeight="1" x14ac:dyDescent="0.25">
      <c r="D402" t="s">
        <v>743</v>
      </c>
      <c r="E402" s="24">
        <v>200000</v>
      </c>
      <c r="F402" s="39" t="s">
        <v>746</v>
      </c>
      <c r="G402" t="s">
        <v>33</v>
      </c>
      <c r="H402">
        <v>1</v>
      </c>
    </row>
    <row r="403" spans="3:8" ht="31.5" customHeight="1" x14ac:dyDescent="0.25">
      <c r="D403" t="s">
        <v>748</v>
      </c>
      <c r="E403" s="24">
        <v>400000</v>
      </c>
      <c r="F403" s="39" t="s">
        <v>748</v>
      </c>
      <c r="G403" t="s">
        <v>33</v>
      </c>
      <c r="H403">
        <v>2</v>
      </c>
    </row>
    <row r="404" spans="3:8" ht="24" customHeight="1" x14ac:dyDescent="0.25">
      <c r="D404" t="s">
        <v>792</v>
      </c>
      <c r="E404" s="24">
        <v>220000</v>
      </c>
      <c r="G404" t="s">
        <v>793</v>
      </c>
      <c r="H404">
        <v>2</v>
      </c>
    </row>
    <row r="405" spans="3:8" ht="21" customHeight="1" x14ac:dyDescent="0.25">
      <c r="C405" s="78">
        <v>46247</v>
      </c>
      <c r="D405" t="s">
        <v>695</v>
      </c>
      <c r="E405" s="24">
        <v>2750000</v>
      </c>
      <c r="G405" t="s">
        <v>33</v>
      </c>
      <c r="H405">
        <v>10</v>
      </c>
    </row>
    <row r="406" spans="3:8" x14ac:dyDescent="0.25">
      <c r="D406" t="s">
        <v>794</v>
      </c>
      <c r="E406" s="24">
        <v>150000</v>
      </c>
      <c r="G406" t="s">
        <v>795</v>
      </c>
      <c r="H406">
        <v>1</v>
      </c>
    </row>
    <row r="407" spans="3:8" x14ac:dyDescent="0.25">
      <c r="D407" t="s">
        <v>695</v>
      </c>
      <c r="E407" s="24">
        <v>750000</v>
      </c>
      <c r="G407" t="s">
        <v>795</v>
      </c>
      <c r="H407">
        <v>10</v>
      </c>
    </row>
    <row r="408" spans="3:8" x14ac:dyDescent="0.25">
      <c r="D408" t="s">
        <v>796</v>
      </c>
      <c r="E408" s="24">
        <v>200000</v>
      </c>
      <c r="G408" t="s">
        <v>33</v>
      </c>
      <c r="H408">
        <v>1</v>
      </c>
    </row>
    <row r="409" spans="3:8" x14ac:dyDescent="0.25">
      <c r="D409" t="s">
        <v>797</v>
      </c>
      <c r="E409" s="24">
        <v>200000</v>
      </c>
      <c r="F409" s="39" t="s">
        <v>797</v>
      </c>
      <c r="G409" t="s">
        <v>33</v>
      </c>
      <c r="H409">
        <v>1</v>
      </c>
    </row>
    <row r="410" spans="3:8" x14ac:dyDescent="0.25">
      <c r="C410" s="78">
        <v>46248</v>
      </c>
      <c r="D410" t="s">
        <v>808</v>
      </c>
      <c r="E410" s="24">
        <v>7410000</v>
      </c>
      <c r="G410" t="s">
        <v>34</v>
      </c>
      <c r="H410">
        <v>45</v>
      </c>
    </row>
    <row r="411" spans="3:8" x14ac:dyDescent="0.25">
      <c r="D411" t="s">
        <v>808</v>
      </c>
      <c r="G411" t="s">
        <v>809</v>
      </c>
      <c r="H411">
        <v>6</v>
      </c>
    </row>
  </sheetData>
  <mergeCells count="6">
    <mergeCell ref="P7:Q7"/>
    <mergeCell ref="C2:D2"/>
    <mergeCell ref="F1:F3"/>
    <mergeCell ref="G1:G3"/>
    <mergeCell ref="P5:Q5"/>
    <mergeCell ref="P6:Q6"/>
  </mergeCells>
  <phoneticPr fontId="7" type="noConversion"/>
  <conditionalFormatting sqref="D97">
    <cfRule type="duplicateValues" dxfId="472" priority="268"/>
    <cfRule type="duplicateValues" dxfId="471" priority="267"/>
    <cfRule type="duplicateValues" dxfId="470" priority="266"/>
  </conditionalFormatting>
  <conditionalFormatting sqref="F13">
    <cfRule type="duplicateValues" dxfId="469" priority="481"/>
    <cfRule type="duplicateValues" dxfId="468" priority="480"/>
    <cfRule type="duplicateValues" dxfId="467" priority="479"/>
  </conditionalFormatting>
  <conditionalFormatting sqref="F14">
    <cfRule type="duplicateValues" dxfId="466" priority="476"/>
    <cfRule type="duplicateValues" dxfId="465" priority="478"/>
    <cfRule type="duplicateValues" dxfId="464" priority="477"/>
  </conditionalFormatting>
  <conditionalFormatting sqref="F15">
    <cfRule type="duplicateValues" dxfId="463" priority="473"/>
    <cfRule type="duplicateValues" dxfId="462" priority="475"/>
    <cfRule type="duplicateValues" dxfId="461" priority="474"/>
  </conditionalFormatting>
  <conditionalFormatting sqref="F16">
    <cfRule type="duplicateValues" dxfId="460" priority="472"/>
    <cfRule type="duplicateValues" dxfId="459" priority="470"/>
    <cfRule type="duplicateValues" dxfId="458" priority="471"/>
  </conditionalFormatting>
  <conditionalFormatting sqref="F17">
    <cfRule type="duplicateValues" dxfId="457" priority="469"/>
    <cfRule type="duplicateValues" dxfId="456" priority="468"/>
    <cfRule type="duplicateValues" dxfId="455" priority="467"/>
  </conditionalFormatting>
  <conditionalFormatting sqref="F18">
    <cfRule type="duplicateValues" dxfId="454" priority="466"/>
    <cfRule type="duplicateValues" dxfId="453" priority="465"/>
    <cfRule type="duplicateValues" dxfId="452" priority="464"/>
  </conditionalFormatting>
  <conditionalFormatting sqref="F19">
    <cfRule type="duplicateValues" dxfId="451" priority="461"/>
    <cfRule type="duplicateValues" dxfId="450" priority="462"/>
    <cfRule type="duplicateValues" dxfId="449" priority="463"/>
  </conditionalFormatting>
  <conditionalFormatting sqref="F20">
    <cfRule type="duplicateValues" dxfId="448" priority="458"/>
    <cfRule type="duplicateValues" dxfId="447" priority="460"/>
    <cfRule type="duplicateValues" dxfId="446" priority="459"/>
  </conditionalFormatting>
  <conditionalFormatting sqref="F21">
    <cfRule type="duplicateValues" dxfId="445" priority="457"/>
    <cfRule type="duplicateValues" dxfId="444" priority="456"/>
    <cfRule type="duplicateValues" dxfId="443" priority="455"/>
  </conditionalFormatting>
  <conditionalFormatting sqref="F22">
    <cfRule type="duplicateValues" dxfId="442" priority="454"/>
    <cfRule type="duplicateValues" dxfId="441" priority="453"/>
    <cfRule type="duplicateValues" dxfId="440" priority="452"/>
  </conditionalFormatting>
  <conditionalFormatting sqref="F23">
    <cfRule type="duplicateValues" dxfId="439" priority="451"/>
    <cfRule type="duplicateValues" dxfId="438" priority="450"/>
    <cfRule type="duplicateValues" dxfId="437" priority="449"/>
  </conditionalFormatting>
  <conditionalFormatting sqref="F24">
    <cfRule type="duplicateValues" dxfId="436" priority="116"/>
    <cfRule type="duplicateValues" dxfId="435" priority="118"/>
    <cfRule type="duplicateValues" dxfId="434" priority="117"/>
  </conditionalFormatting>
  <conditionalFormatting sqref="F25">
    <cfRule type="duplicateValues" dxfId="433" priority="124"/>
    <cfRule type="duplicateValues" dxfId="432" priority="123"/>
    <cfRule type="duplicateValues" dxfId="431" priority="122"/>
  </conditionalFormatting>
  <conditionalFormatting sqref="F26">
    <cfRule type="duplicateValues" dxfId="430" priority="126"/>
    <cfRule type="duplicateValues" dxfId="429" priority="127"/>
    <cfRule type="duplicateValues" dxfId="428" priority="125"/>
  </conditionalFormatting>
  <conditionalFormatting sqref="F27">
    <cfRule type="duplicateValues" dxfId="427" priority="446"/>
    <cfRule type="duplicateValues" dxfId="426" priority="447"/>
    <cfRule type="duplicateValues" dxfId="425" priority="448"/>
  </conditionalFormatting>
  <conditionalFormatting sqref="F28">
    <cfRule type="duplicateValues" dxfId="424" priority="443"/>
    <cfRule type="duplicateValues" dxfId="423" priority="444"/>
    <cfRule type="duplicateValues" dxfId="422" priority="445"/>
  </conditionalFormatting>
  <conditionalFormatting sqref="F29">
    <cfRule type="duplicateValues" dxfId="421" priority="442"/>
    <cfRule type="duplicateValues" dxfId="420" priority="441"/>
    <cfRule type="duplicateValues" dxfId="419" priority="440"/>
  </conditionalFormatting>
  <conditionalFormatting sqref="F31">
    <cfRule type="duplicateValues" dxfId="418" priority="439"/>
    <cfRule type="duplicateValues" dxfId="417" priority="438"/>
    <cfRule type="duplicateValues" dxfId="416" priority="437"/>
  </conditionalFormatting>
  <conditionalFormatting sqref="F33">
    <cfRule type="duplicateValues" dxfId="415" priority="436"/>
    <cfRule type="duplicateValues" dxfId="414" priority="434"/>
    <cfRule type="duplicateValues" dxfId="413" priority="435"/>
  </conditionalFormatting>
  <conditionalFormatting sqref="F34">
    <cfRule type="duplicateValues" dxfId="412" priority="433"/>
    <cfRule type="duplicateValues" dxfId="411" priority="432"/>
    <cfRule type="duplicateValues" dxfId="410" priority="431"/>
  </conditionalFormatting>
  <conditionalFormatting sqref="F35">
    <cfRule type="duplicateValues" dxfId="409" priority="430"/>
    <cfRule type="duplicateValues" dxfId="408" priority="429"/>
    <cfRule type="duplicateValues" dxfId="407" priority="428"/>
  </conditionalFormatting>
  <conditionalFormatting sqref="F36">
    <cfRule type="duplicateValues" dxfId="406" priority="273"/>
    <cfRule type="duplicateValues" dxfId="405" priority="274"/>
    <cfRule type="duplicateValues" dxfId="404" priority="272"/>
  </conditionalFormatting>
  <conditionalFormatting sqref="F38">
    <cfRule type="duplicateValues" dxfId="403" priority="425"/>
    <cfRule type="duplicateValues" dxfId="402" priority="426"/>
    <cfRule type="duplicateValues" dxfId="401" priority="427"/>
  </conditionalFormatting>
  <conditionalFormatting sqref="F39">
    <cfRule type="duplicateValues" dxfId="400" priority="422"/>
    <cfRule type="duplicateValues" dxfId="399" priority="423"/>
    <cfRule type="duplicateValues" dxfId="398" priority="424"/>
  </conditionalFormatting>
  <conditionalFormatting sqref="F40">
    <cfRule type="duplicateValues" dxfId="397" priority="269"/>
    <cfRule type="duplicateValues" dxfId="396" priority="270"/>
    <cfRule type="duplicateValues" dxfId="395" priority="271"/>
  </conditionalFormatting>
  <conditionalFormatting sqref="F43">
    <cfRule type="duplicateValues" dxfId="394" priority="419"/>
    <cfRule type="duplicateValues" dxfId="393" priority="420"/>
    <cfRule type="duplicateValues" dxfId="392" priority="421"/>
  </conditionalFormatting>
  <conditionalFormatting sqref="F44">
    <cfRule type="duplicateValues" dxfId="391" priority="416"/>
    <cfRule type="duplicateValues" dxfId="390" priority="418"/>
    <cfRule type="duplicateValues" dxfId="389" priority="417"/>
  </conditionalFormatting>
  <conditionalFormatting sqref="F45">
    <cfRule type="duplicateValues" dxfId="388" priority="415"/>
    <cfRule type="duplicateValues" dxfId="387" priority="414"/>
    <cfRule type="duplicateValues" dxfId="386" priority="413"/>
  </conditionalFormatting>
  <conditionalFormatting sqref="F46">
    <cfRule type="duplicateValues" dxfId="385" priority="412"/>
    <cfRule type="duplicateValues" dxfId="384" priority="410"/>
    <cfRule type="duplicateValues" dxfId="383" priority="411"/>
  </conditionalFormatting>
  <conditionalFormatting sqref="F48">
    <cfRule type="duplicateValues" dxfId="382" priority="409"/>
    <cfRule type="duplicateValues" dxfId="381" priority="408"/>
    <cfRule type="duplicateValues" dxfId="380" priority="407"/>
  </conditionalFormatting>
  <conditionalFormatting sqref="F49">
    <cfRule type="duplicateValues" dxfId="379" priority="406"/>
    <cfRule type="duplicateValues" dxfId="378" priority="405"/>
    <cfRule type="duplicateValues" dxfId="377" priority="404"/>
  </conditionalFormatting>
  <conditionalFormatting sqref="F50">
    <cfRule type="duplicateValues" dxfId="376" priority="403"/>
    <cfRule type="duplicateValues" dxfId="375" priority="401"/>
    <cfRule type="duplicateValues" dxfId="374" priority="402"/>
  </conditionalFormatting>
  <conditionalFormatting sqref="F51">
    <cfRule type="duplicateValues" dxfId="373" priority="398"/>
    <cfRule type="duplicateValues" dxfId="372" priority="399"/>
    <cfRule type="duplicateValues" dxfId="371" priority="400"/>
  </conditionalFormatting>
  <conditionalFormatting sqref="F52">
    <cfRule type="duplicateValues" dxfId="370" priority="396"/>
    <cfRule type="duplicateValues" dxfId="369" priority="397"/>
    <cfRule type="duplicateValues" dxfId="368" priority="395"/>
  </conditionalFormatting>
  <conditionalFormatting sqref="F53">
    <cfRule type="duplicateValues" dxfId="367" priority="392"/>
    <cfRule type="duplicateValues" dxfId="366" priority="393"/>
    <cfRule type="duplicateValues" dxfId="365" priority="394"/>
  </conditionalFormatting>
  <conditionalFormatting sqref="F54">
    <cfRule type="duplicateValues" dxfId="364" priority="389"/>
    <cfRule type="duplicateValues" dxfId="363" priority="390"/>
    <cfRule type="duplicateValues" dxfId="362" priority="391"/>
  </conditionalFormatting>
  <conditionalFormatting sqref="F55">
    <cfRule type="duplicateValues" dxfId="361" priority="387"/>
    <cfRule type="duplicateValues" dxfId="360" priority="388"/>
    <cfRule type="duplicateValues" dxfId="359" priority="386"/>
  </conditionalFormatting>
  <conditionalFormatting sqref="F56">
    <cfRule type="duplicateValues" dxfId="358" priority="383"/>
    <cfRule type="duplicateValues" dxfId="357" priority="384"/>
    <cfRule type="duplicateValues" dxfId="356" priority="385"/>
  </conditionalFormatting>
  <conditionalFormatting sqref="F57">
    <cfRule type="duplicateValues" dxfId="355" priority="382"/>
    <cfRule type="duplicateValues" dxfId="354" priority="381"/>
    <cfRule type="duplicateValues" dxfId="353" priority="380"/>
  </conditionalFormatting>
  <conditionalFormatting sqref="F58">
    <cfRule type="duplicateValues" dxfId="352" priority="379"/>
    <cfRule type="duplicateValues" dxfId="351" priority="378"/>
    <cfRule type="duplicateValues" dxfId="350" priority="377"/>
  </conditionalFormatting>
  <conditionalFormatting sqref="F59">
    <cfRule type="duplicateValues" dxfId="349" priority="376"/>
    <cfRule type="duplicateValues" dxfId="348" priority="375"/>
    <cfRule type="duplicateValues" dxfId="347" priority="374"/>
  </conditionalFormatting>
  <conditionalFormatting sqref="F60">
    <cfRule type="duplicateValues" dxfId="346" priority="371"/>
    <cfRule type="duplicateValues" dxfId="345" priority="373"/>
    <cfRule type="duplicateValues" dxfId="344" priority="372"/>
  </conditionalFormatting>
  <conditionalFormatting sqref="F61">
    <cfRule type="duplicateValues" dxfId="343" priority="370"/>
    <cfRule type="duplicateValues" dxfId="342" priority="368"/>
    <cfRule type="duplicateValues" dxfId="341" priority="369"/>
  </conditionalFormatting>
  <conditionalFormatting sqref="F62">
    <cfRule type="duplicateValues" dxfId="340" priority="367"/>
    <cfRule type="duplicateValues" dxfId="339" priority="366"/>
    <cfRule type="duplicateValues" dxfId="338" priority="365"/>
  </conditionalFormatting>
  <conditionalFormatting sqref="F63">
    <cfRule type="duplicateValues" dxfId="337" priority="362"/>
    <cfRule type="duplicateValues" dxfId="336" priority="363"/>
    <cfRule type="duplicateValues" dxfId="335" priority="364"/>
  </conditionalFormatting>
  <conditionalFormatting sqref="F64">
    <cfRule type="duplicateValues" dxfId="334" priority="359"/>
    <cfRule type="duplicateValues" dxfId="333" priority="360"/>
    <cfRule type="duplicateValues" dxfId="332" priority="361"/>
  </conditionalFormatting>
  <conditionalFormatting sqref="F65">
    <cfRule type="duplicateValues" dxfId="331" priority="356"/>
    <cfRule type="duplicateValues" dxfId="330" priority="357"/>
    <cfRule type="duplicateValues" dxfId="329" priority="358"/>
  </conditionalFormatting>
  <conditionalFormatting sqref="F67">
    <cfRule type="duplicateValues" dxfId="328" priority="354"/>
    <cfRule type="duplicateValues" dxfId="327" priority="355"/>
    <cfRule type="duplicateValues" dxfId="326" priority="353"/>
  </conditionalFormatting>
  <conditionalFormatting sqref="F68">
    <cfRule type="duplicateValues" dxfId="325" priority="352"/>
    <cfRule type="duplicateValues" dxfId="324" priority="351"/>
    <cfRule type="duplicateValues" dxfId="323" priority="350"/>
  </conditionalFormatting>
  <conditionalFormatting sqref="F69">
    <cfRule type="duplicateValues" dxfId="322" priority="347"/>
    <cfRule type="duplicateValues" dxfId="321" priority="348"/>
    <cfRule type="duplicateValues" dxfId="320" priority="349"/>
  </conditionalFormatting>
  <conditionalFormatting sqref="F70">
    <cfRule type="duplicateValues" dxfId="319" priority="344"/>
    <cfRule type="duplicateValues" dxfId="318" priority="346"/>
    <cfRule type="duplicateValues" dxfId="317" priority="345"/>
  </conditionalFormatting>
  <conditionalFormatting sqref="F71">
    <cfRule type="duplicateValues" dxfId="316" priority="341"/>
    <cfRule type="duplicateValues" dxfId="315" priority="342"/>
    <cfRule type="duplicateValues" dxfId="314" priority="343"/>
  </conditionalFormatting>
  <conditionalFormatting sqref="F72">
    <cfRule type="duplicateValues" dxfId="313" priority="338"/>
    <cfRule type="duplicateValues" dxfId="312" priority="339"/>
    <cfRule type="duplicateValues" dxfId="311" priority="340"/>
  </conditionalFormatting>
  <conditionalFormatting sqref="F74">
    <cfRule type="duplicateValues" dxfId="310" priority="337"/>
    <cfRule type="duplicateValues" dxfId="309" priority="336"/>
    <cfRule type="duplicateValues" dxfId="308" priority="335"/>
  </conditionalFormatting>
  <conditionalFormatting sqref="F75">
    <cfRule type="duplicateValues" dxfId="307" priority="332"/>
    <cfRule type="duplicateValues" dxfId="306" priority="333"/>
    <cfRule type="duplicateValues" dxfId="305" priority="334"/>
  </conditionalFormatting>
  <conditionalFormatting sqref="F77">
    <cfRule type="duplicateValues" dxfId="304" priority="329"/>
    <cfRule type="duplicateValues" dxfId="303" priority="330"/>
    <cfRule type="duplicateValues" dxfId="302" priority="331"/>
  </conditionalFormatting>
  <conditionalFormatting sqref="F78">
    <cfRule type="duplicateValues" dxfId="301" priority="326"/>
    <cfRule type="duplicateValues" dxfId="300" priority="328"/>
    <cfRule type="duplicateValues" dxfId="299" priority="327"/>
  </conditionalFormatting>
  <conditionalFormatting sqref="F79">
    <cfRule type="duplicateValues" dxfId="298" priority="325"/>
    <cfRule type="duplicateValues" dxfId="297" priority="324"/>
    <cfRule type="duplicateValues" dxfId="296" priority="323"/>
  </conditionalFormatting>
  <conditionalFormatting sqref="F80">
    <cfRule type="duplicateValues" dxfId="295" priority="320"/>
    <cfRule type="duplicateValues" dxfId="294" priority="321"/>
    <cfRule type="duplicateValues" dxfId="293" priority="322"/>
  </conditionalFormatting>
  <conditionalFormatting sqref="F81">
    <cfRule type="duplicateValues" dxfId="292" priority="317"/>
    <cfRule type="duplicateValues" dxfId="291" priority="318"/>
    <cfRule type="duplicateValues" dxfId="290" priority="319"/>
  </conditionalFormatting>
  <conditionalFormatting sqref="F82">
    <cfRule type="duplicateValues" dxfId="289" priority="315"/>
    <cfRule type="duplicateValues" dxfId="288" priority="314"/>
    <cfRule type="duplicateValues" dxfId="287" priority="316"/>
  </conditionalFormatting>
  <conditionalFormatting sqref="F83">
    <cfRule type="duplicateValues" dxfId="286" priority="313"/>
    <cfRule type="duplicateValues" dxfId="285" priority="312"/>
    <cfRule type="duplicateValues" dxfId="284" priority="311"/>
  </conditionalFormatting>
  <conditionalFormatting sqref="F84">
    <cfRule type="duplicateValues" dxfId="283" priority="309"/>
    <cfRule type="duplicateValues" dxfId="282" priority="308"/>
    <cfRule type="duplicateValues" dxfId="281" priority="310"/>
  </conditionalFormatting>
  <conditionalFormatting sqref="F85:F86">
    <cfRule type="duplicateValues" dxfId="280" priority="307"/>
    <cfRule type="duplicateValues" dxfId="279" priority="305"/>
    <cfRule type="duplicateValues" dxfId="278" priority="306"/>
  </conditionalFormatting>
  <conditionalFormatting sqref="F87">
    <cfRule type="duplicateValues" dxfId="277" priority="302"/>
    <cfRule type="duplicateValues" dxfId="276" priority="303"/>
    <cfRule type="duplicateValues" dxfId="275" priority="304"/>
  </conditionalFormatting>
  <conditionalFormatting sqref="F88">
    <cfRule type="duplicateValues" dxfId="274" priority="286"/>
    <cfRule type="duplicateValues" dxfId="273" priority="285"/>
    <cfRule type="duplicateValues" dxfId="272" priority="284"/>
  </conditionalFormatting>
  <conditionalFormatting sqref="F89">
    <cfRule type="duplicateValues" dxfId="271" priority="299"/>
    <cfRule type="duplicateValues" dxfId="270" priority="300"/>
    <cfRule type="duplicateValues" dxfId="269" priority="301"/>
  </conditionalFormatting>
  <conditionalFormatting sqref="F90">
    <cfRule type="duplicateValues" dxfId="268" priority="296"/>
    <cfRule type="duplicateValues" dxfId="267" priority="297"/>
    <cfRule type="duplicateValues" dxfId="266" priority="298"/>
  </conditionalFormatting>
  <conditionalFormatting sqref="F91">
    <cfRule type="duplicateValues" dxfId="265" priority="294"/>
    <cfRule type="duplicateValues" dxfId="264" priority="293"/>
    <cfRule type="duplicateValues" dxfId="263" priority="295"/>
  </conditionalFormatting>
  <conditionalFormatting sqref="F92">
    <cfRule type="duplicateValues" dxfId="262" priority="292"/>
    <cfRule type="duplicateValues" dxfId="261" priority="291"/>
    <cfRule type="duplicateValues" dxfId="260" priority="290"/>
  </conditionalFormatting>
  <conditionalFormatting sqref="F93">
    <cfRule type="duplicateValues" dxfId="259" priority="289"/>
    <cfRule type="duplicateValues" dxfId="258" priority="287"/>
    <cfRule type="duplicateValues" dxfId="257" priority="288"/>
  </conditionalFormatting>
  <conditionalFormatting sqref="F94">
    <cfRule type="duplicateValues" dxfId="256" priority="278"/>
    <cfRule type="duplicateValues" dxfId="255" priority="279"/>
    <cfRule type="duplicateValues" dxfId="254" priority="280"/>
  </conditionalFormatting>
  <conditionalFormatting sqref="F95">
    <cfRule type="duplicateValues" dxfId="253" priority="281"/>
    <cfRule type="duplicateValues" dxfId="252" priority="282"/>
    <cfRule type="duplicateValues" dxfId="251" priority="283"/>
  </conditionalFormatting>
  <conditionalFormatting sqref="F96">
    <cfRule type="duplicateValues" dxfId="250" priority="275"/>
    <cfRule type="duplicateValues" dxfId="249" priority="277"/>
    <cfRule type="duplicateValues" dxfId="248" priority="276"/>
  </conditionalFormatting>
  <conditionalFormatting sqref="F97">
    <cfRule type="duplicateValues" dxfId="247" priority="265"/>
    <cfRule type="duplicateValues" dxfId="246" priority="264"/>
    <cfRule type="duplicateValues" dxfId="245" priority="263"/>
  </conditionalFormatting>
  <conditionalFormatting sqref="F98">
    <cfRule type="duplicateValues" dxfId="244" priority="262"/>
    <cfRule type="duplicateValues" dxfId="243" priority="260"/>
    <cfRule type="duplicateValues" dxfId="242" priority="261"/>
  </conditionalFormatting>
  <conditionalFormatting sqref="F99">
    <cfRule type="duplicateValues" dxfId="241" priority="259"/>
    <cfRule type="duplicateValues" dxfId="240" priority="258"/>
    <cfRule type="duplicateValues" dxfId="239" priority="257"/>
  </conditionalFormatting>
  <conditionalFormatting sqref="F100">
    <cfRule type="duplicateValues" dxfId="238" priority="256"/>
    <cfRule type="duplicateValues" dxfId="237" priority="255"/>
    <cfRule type="duplicateValues" dxfId="236" priority="254"/>
  </conditionalFormatting>
  <conditionalFormatting sqref="F101">
    <cfRule type="duplicateValues" dxfId="235" priority="253"/>
    <cfRule type="duplicateValues" dxfId="234" priority="251"/>
    <cfRule type="duplicateValues" dxfId="233" priority="252"/>
  </conditionalFormatting>
  <conditionalFormatting sqref="F102">
    <cfRule type="duplicateValues" dxfId="232" priority="248"/>
    <cfRule type="duplicateValues" dxfId="231" priority="250"/>
    <cfRule type="duplicateValues" dxfId="230" priority="249"/>
  </conditionalFormatting>
  <conditionalFormatting sqref="F103">
    <cfRule type="duplicateValues" dxfId="229" priority="247"/>
    <cfRule type="duplicateValues" dxfId="228" priority="246"/>
    <cfRule type="duplicateValues" dxfId="227" priority="245"/>
  </conditionalFormatting>
  <conditionalFormatting sqref="F104">
    <cfRule type="duplicateValues" dxfId="226" priority="243"/>
    <cfRule type="duplicateValues" dxfId="225" priority="242"/>
    <cfRule type="duplicateValues" dxfId="224" priority="244"/>
  </conditionalFormatting>
  <conditionalFormatting sqref="F105">
    <cfRule type="duplicateValues" dxfId="223" priority="241"/>
    <cfRule type="duplicateValues" dxfId="222" priority="240"/>
    <cfRule type="duplicateValues" dxfId="221" priority="239"/>
  </conditionalFormatting>
  <conditionalFormatting sqref="F106">
    <cfRule type="duplicateValues" dxfId="220" priority="237"/>
    <cfRule type="duplicateValues" dxfId="219" priority="238"/>
    <cfRule type="duplicateValues" dxfId="218" priority="236"/>
  </conditionalFormatting>
  <conditionalFormatting sqref="F107">
    <cfRule type="duplicateValues" dxfId="217" priority="233"/>
    <cfRule type="duplicateValues" dxfId="216" priority="235"/>
    <cfRule type="duplicateValues" dxfId="215" priority="234"/>
  </conditionalFormatting>
  <conditionalFormatting sqref="F108">
    <cfRule type="duplicateValues" dxfId="214" priority="232"/>
    <cfRule type="duplicateValues" dxfId="213" priority="231"/>
    <cfRule type="duplicateValues" dxfId="212" priority="230"/>
  </conditionalFormatting>
  <conditionalFormatting sqref="F109">
    <cfRule type="duplicateValues" dxfId="211" priority="229"/>
    <cfRule type="duplicateValues" dxfId="210" priority="228"/>
    <cfRule type="duplicateValues" dxfId="209" priority="227"/>
  </conditionalFormatting>
  <conditionalFormatting sqref="F110">
    <cfRule type="duplicateValues" dxfId="208" priority="226"/>
    <cfRule type="duplicateValues" dxfId="207" priority="225"/>
    <cfRule type="duplicateValues" dxfId="206" priority="224"/>
  </conditionalFormatting>
  <conditionalFormatting sqref="F111">
    <cfRule type="duplicateValues" dxfId="205" priority="208"/>
    <cfRule type="duplicateValues" dxfId="204" priority="206"/>
    <cfRule type="duplicateValues" dxfId="203" priority="207"/>
  </conditionalFormatting>
  <conditionalFormatting sqref="F112">
    <cfRule type="duplicateValues" dxfId="202" priority="223"/>
    <cfRule type="duplicateValues" dxfId="201" priority="222"/>
    <cfRule type="duplicateValues" dxfId="200" priority="221"/>
  </conditionalFormatting>
  <conditionalFormatting sqref="F113">
    <cfRule type="duplicateValues" dxfId="199" priority="220"/>
    <cfRule type="duplicateValues" dxfId="198" priority="219"/>
    <cfRule type="duplicateValues" dxfId="197" priority="218"/>
  </conditionalFormatting>
  <conditionalFormatting sqref="F114">
    <cfRule type="duplicateValues" dxfId="196" priority="215"/>
    <cfRule type="duplicateValues" dxfId="195" priority="216"/>
    <cfRule type="duplicateValues" dxfId="194" priority="217"/>
  </conditionalFormatting>
  <conditionalFormatting sqref="F115">
    <cfRule type="duplicateValues" dxfId="193" priority="212"/>
    <cfRule type="duplicateValues" dxfId="192" priority="213"/>
    <cfRule type="duplicateValues" dxfId="191" priority="214"/>
  </conditionalFormatting>
  <conditionalFormatting sqref="F116">
    <cfRule type="duplicateValues" dxfId="190" priority="210"/>
    <cfRule type="duplicateValues" dxfId="189" priority="209"/>
    <cfRule type="duplicateValues" dxfId="188" priority="211"/>
  </conditionalFormatting>
  <conditionalFormatting sqref="F117">
    <cfRule type="duplicateValues" dxfId="187" priority="164"/>
    <cfRule type="duplicateValues" dxfId="186" priority="165"/>
    <cfRule type="duplicateValues" dxfId="185" priority="166"/>
  </conditionalFormatting>
  <conditionalFormatting sqref="F119">
    <cfRule type="duplicateValues" dxfId="184" priority="146"/>
    <cfRule type="duplicateValues" dxfId="183" priority="147"/>
    <cfRule type="duplicateValues" dxfId="182" priority="148"/>
  </conditionalFormatting>
  <conditionalFormatting sqref="F120">
    <cfRule type="duplicateValues" dxfId="181" priority="182"/>
    <cfRule type="duplicateValues" dxfId="180" priority="184"/>
    <cfRule type="duplicateValues" dxfId="179" priority="183"/>
  </conditionalFormatting>
  <conditionalFormatting sqref="F121">
    <cfRule type="duplicateValues" dxfId="178" priority="202"/>
    <cfRule type="duplicateValues" dxfId="177" priority="201"/>
    <cfRule type="duplicateValues" dxfId="176" priority="200"/>
  </conditionalFormatting>
  <conditionalFormatting sqref="F122">
    <cfRule type="duplicateValues" dxfId="175" priority="199"/>
    <cfRule type="duplicateValues" dxfId="174" priority="198"/>
    <cfRule type="duplicateValues" dxfId="173" priority="197"/>
  </conditionalFormatting>
  <conditionalFormatting sqref="F123">
    <cfRule type="duplicateValues" dxfId="172" priority="195"/>
    <cfRule type="duplicateValues" dxfId="171" priority="194"/>
    <cfRule type="duplicateValues" dxfId="170" priority="196"/>
  </conditionalFormatting>
  <conditionalFormatting sqref="F124">
    <cfRule type="duplicateValues" dxfId="169" priority="191"/>
    <cfRule type="duplicateValues" dxfId="168" priority="193"/>
    <cfRule type="duplicateValues" dxfId="167" priority="192"/>
  </conditionalFormatting>
  <conditionalFormatting sqref="F125">
    <cfRule type="duplicateValues" dxfId="166" priority="187"/>
    <cfRule type="duplicateValues" dxfId="165" priority="186"/>
    <cfRule type="duplicateValues" dxfId="164" priority="185"/>
  </conditionalFormatting>
  <conditionalFormatting sqref="F126:F127">
    <cfRule type="duplicateValues" dxfId="163" priority="482"/>
  </conditionalFormatting>
  <conditionalFormatting sqref="F128">
    <cfRule type="duplicateValues" dxfId="162" priority="149"/>
    <cfRule type="duplicateValues" dxfId="161" priority="150"/>
    <cfRule type="duplicateValues" dxfId="160" priority="151"/>
  </conditionalFormatting>
  <conditionalFormatting sqref="F129">
    <cfRule type="duplicateValues" dxfId="159" priority="180"/>
    <cfRule type="duplicateValues" dxfId="158" priority="181"/>
    <cfRule type="duplicateValues" dxfId="157" priority="179"/>
  </conditionalFormatting>
  <conditionalFormatting sqref="F130">
    <cfRule type="duplicateValues" dxfId="156" priority="167"/>
    <cfRule type="duplicateValues" dxfId="155" priority="168"/>
    <cfRule type="duplicateValues" dxfId="154" priority="169"/>
  </conditionalFormatting>
  <conditionalFormatting sqref="F131">
    <cfRule type="duplicateValues" dxfId="153" priority="178"/>
    <cfRule type="duplicateValues" dxfId="152" priority="177"/>
    <cfRule type="duplicateValues" dxfId="151" priority="176"/>
  </conditionalFormatting>
  <conditionalFormatting sqref="F132">
    <cfRule type="duplicateValues" dxfId="150" priority="175"/>
    <cfRule type="duplicateValues" dxfId="149" priority="174"/>
    <cfRule type="duplicateValues" dxfId="148" priority="173"/>
  </conditionalFormatting>
  <conditionalFormatting sqref="F133">
    <cfRule type="duplicateValues" dxfId="147" priority="172"/>
    <cfRule type="duplicateValues" dxfId="146" priority="170"/>
    <cfRule type="duplicateValues" dxfId="145" priority="171"/>
  </conditionalFormatting>
  <conditionalFormatting sqref="F134">
    <cfRule type="duplicateValues" dxfId="144" priority="159"/>
    <cfRule type="duplicateValues" dxfId="143" priority="160"/>
    <cfRule type="duplicateValues" dxfId="142" priority="158"/>
  </conditionalFormatting>
  <conditionalFormatting sqref="F135">
    <cfRule type="duplicateValues" dxfId="141" priority="155"/>
    <cfRule type="duplicateValues" dxfId="140" priority="156"/>
    <cfRule type="duplicateValues" dxfId="139" priority="157"/>
  </conditionalFormatting>
  <conditionalFormatting sqref="F136">
    <cfRule type="duplicateValues" dxfId="138" priority="161"/>
    <cfRule type="duplicateValues" dxfId="137" priority="162"/>
    <cfRule type="duplicateValues" dxfId="136" priority="163"/>
  </conditionalFormatting>
  <conditionalFormatting sqref="F137">
    <cfRule type="duplicateValues" dxfId="135" priority="152"/>
    <cfRule type="duplicateValues" dxfId="134" priority="153"/>
    <cfRule type="duplicateValues" dxfId="133" priority="154"/>
  </conditionalFormatting>
  <conditionalFormatting sqref="F138">
    <cfRule type="duplicateValues" dxfId="132" priority="145"/>
    <cfRule type="duplicateValues" dxfId="131" priority="143"/>
    <cfRule type="duplicateValues" dxfId="130" priority="144"/>
  </conditionalFormatting>
  <conditionalFormatting sqref="F140">
    <cfRule type="duplicateValues" dxfId="129" priority="142"/>
    <cfRule type="duplicateValues" dxfId="128" priority="141"/>
    <cfRule type="duplicateValues" dxfId="127" priority="140"/>
  </conditionalFormatting>
  <conditionalFormatting sqref="F141">
    <cfRule type="duplicateValues" dxfId="126" priority="139"/>
    <cfRule type="duplicateValues" dxfId="125" priority="138"/>
    <cfRule type="duplicateValues" dxfId="124" priority="137"/>
  </conditionalFormatting>
  <conditionalFormatting sqref="F142">
    <cfRule type="duplicateValues" dxfId="123" priority="136"/>
    <cfRule type="duplicateValues" dxfId="122" priority="135"/>
    <cfRule type="duplicateValues" dxfId="121" priority="134"/>
  </conditionalFormatting>
  <conditionalFormatting sqref="F143">
    <cfRule type="duplicateValues" dxfId="120" priority="131"/>
    <cfRule type="duplicateValues" dxfId="119" priority="132"/>
    <cfRule type="duplicateValues" dxfId="118" priority="133"/>
  </conditionalFormatting>
  <conditionalFormatting sqref="F144">
    <cfRule type="duplicateValues" dxfId="117" priority="128"/>
    <cfRule type="duplicateValues" dxfId="116" priority="130"/>
    <cfRule type="duplicateValues" dxfId="115" priority="129"/>
  </conditionalFormatting>
  <conditionalFormatting sqref="F145">
    <cfRule type="duplicateValues" dxfId="114" priority="74"/>
    <cfRule type="duplicateValues" dxfId="113" priority="75"/>
    <cfRule type="duplicateValues" dxfId="112" priority="76"/>
  </conditionalFormatting>
  <conditionalFormatting sqref="F146">
    <cfRule type="duplicateValues" dxfId="111" priority="115"/>
    <cfRule type="duplicateValues" dxfId="110" priority="114"/>
    <cfRule type="duplicateValues" dxfId="109" priority="113"/>
  </conditionalFormatting>
  <conditionalFormatting sqref="F147">
    <cfRule type="duplicateValues" dxfId="108" priority="110"/>
    <cfRule type="duplicateValues" dxfId="107" priority="111"/>
    <cfRule type="duplicateValues" dxfId="106" priority="112"/>
  </conditionalFormatting>
  <conditionalFormatting sqref="F149">
    <cfRule type="duplicateValues" dxfId="105" priority="109"/>
    <cfRule type="duplicateValues" dxfId="104" priority="108"/>
    <cfRule type="duplicateValues" dxfId="103" priority="107"/>
  </conditionalFormatting>
  <conditionalFormatting sqref="F151">
    <cfRule type="duplicateValues" dxfId="102" priority="104"/>
    <cfRule type="duplicateValues" dxfId="101" priority="105"/>
    <cfRule type="duplicateValues" dxfId="100" priority="106"/>
  </conditionalFormatting>
  <conditionalFormatting sqref="F152">
    <cfRule type="duplicateValues" dxfId="99" priority="101"/>
    <cfRule type="duplicateValues" dxfId="98" priority="102"/>
    <cfRule type="duplicateValues" dxfId="97" priority="103"/>
  </conditionalFormatting>
  <conditionalFormatting sqref="F153">
    <cfRule type="duplicateValues" dxfId="96" priority="97"/>
    <cfRule type="duplicateValues" dxfId="95" priority="96"/>
    <cfRule type="duplicateValues" dxfId="94" priority="95"/>
  </conditionalFormatting>
  <conditionalFormatting sqref="F154">
    <cfRule type="duplicateValues" dxfId="93" priority="100"/>
    <cfRule type="duplicateValues" dxfId="92" priority="99"/>
    <cfRule type="duplicateValues" dxfId="91" priority="98"/>
  </conditionalFormatting>
  <conditionalFormatting sqref="F155">
    <cfRule type="duplicateValues" dxfId="90" priority="94"/>
    <cfRule type="duplicateValues" dxfId="89" priority="92"/>
    <cfRule type="duplicateValues" dxfId="88" priority="93"/>
  </conditionalFormatting>
  <conditionalFormatting sqref="F156">
    <cfRule type="duplicateValues" dxfId="87" priority="91"/>
    <cfRule type="duplicateValues" dxfId="86" priority="90"/>
    <cfRule type="duplicateValues" dxfId="85" priority="89"/>
  </conditionalFormatting>
  <conditionalFormatting sqref="F157">
    <cfRule type="duplicateValues" dxfId="84" priority="88"/>
    <cfRule type="duplicateValues" dxfId="83" priority="87"/>
    <cfRule type="duplicateValues" dxfId="82" priority="86"/>
  </conditionalFormatting>
  <conditionalFormatting sqref="F158">
    <cfRule type="duplicateValues" dxfId="81" priority="82"/>
    <cfRule type="duplicateValues" dxfId="80" priority="80"/>
    <cfRule type="duplicateValues" dxfId="79" priority="81"/>
  </conditionalFormatting>
  <conditionalFormatting sqref="F159">
    <cfRule type="duplicateValues" dxfId="78" priority="83"/>
    <cfRule type="duplicateValues" dxfId="77" priority="84"/>
    <cfRule type="duplicateValues" dxfId="76" priority="85"/>
  </conditionalFormatting>
  <conditionalFormatting sqref="F160">
    <cfRule type="duplicateValues" dxfId="75" priority="77"/>
    <cfRule type="duplicateValues" dxfId="74" priority="78"/>
    <cfRule type="duplicateValues" dxfId="73" priority="79"/>
  </conditionalFormatting>
  <conditionalFormatting sqref="F161">
    <cfRule type="duplicateValues" dxfId="72" priority="70"/>
    <cfRule type="duplicateValues" dxfId="71" priority="69"/>
    <cfRule type="duplicateValues" dxfId="70" priority="68"/>
  </conditionalFormatting>
  <conditionalFormatting sqref="F162">
    <cfRule type="duplicateValues" dxfId="69" priority="73"/>
    <cfRule type="duplicateValues" dxfId="68" priority="72"/>
    <cfRule type="duplicateValues" dxfId="67" priority="71"/>
  </conditionalFormatting>
  <conditionalFormatting sqref="F163">
    <cfRule type="duplicateValues" dxfId="66" priority="67"/>
    <cfRule type="duplicateValues" dxfId="65" priority="66"/>
    <cfRule type="duplicateValues" dxfId="64" priority="65"/>
  </conditionalFormatting>
  <conditionalFormatting sqref="F165">
    <cfRule type="duplicateValues" dxfId="63" priority="61"/>
    <cfRule type="duplicateValues" dxfId="62" priority="60"/>
    <cfRule type="duplicateValues" dxfId="61" priority="59"/>
  </conditionalFormatting>
  <conditionalFormatting sqref="F166">
    <cfRule type="duplicateValues" dxfId="60" priority="62"/>
    <cfRule type="duplicateValues" dxfId="59" priority="64"/>
    <cfRule type="duplicateValues" dxfId="58" priority="63"/>
  </conditionalFormatting>
  <conditionalFormatting sqref="F167">
    <cfRule type="duplicateValues" dxfId="57" priority="49"/>
    <cfRule type="duplicateValues" dxfId="56" priority="47"/>
    <cfRule type="duplicateValues" dxfId="55" priority="48"/>
  </conditionalFormatting>
  <conditionalFormatting sqref="F168">
    <cfRule type="duplicateValues" dxfId="54" priority="56"/>
    <cfRule type="duplicateValues" dxfId="53" priority="58"/>
    <cfRule type="duplicateValues" dxfId="52" priority="57"/>
  </conditionalFormatting>
  <conditionalFormatting sqref="F169">
    <cfRule type="duplicateValues" dxfId="51" priority="51"/>
    <cfRule type="duplicateValues" dxfId="50" priority="52"/>
    <cfRule type="duplicateValues" dxfId="49" priority="50"/>
  </conditionalFormatting>
  <conditionalFormatting sqref="F170">
    <cfRule type="duplicateValues" dxfId="48" priority="53"/>
    <cfRule type="duplicateValues" dxfId="47" priority="55"/>
    <cfRule type="duplicateValues" dxfId="46" priority="54"/>
  </conditionalFormatting>
  <conditionalFormatting sqref="F171">
    <cfRule type="duplicateValues" dxfId="45" priority="13"/>
    <cfRule type="duplicateValues" dxfId="44" priority="11"/>
    <cfRule type="duplicateValues" dxfId="43" priority="12"/>
  </conditionalFormatting>
  <conditionalFormatting sqref="F172">
    <cfRule type="duplicateValues" dxfId="42" priority="37"/>
    <cfRule type="duplicateValues" dxfId="41" priority="36"/>
    <cfRule type="duplicateValues" dxfId="40" priority="35"/>
  </conditionalFormatting>
  <conditionalFormatting sqref="F173">
    <cfRule type="duplicateValues" dxfId="39" priority="46"/>
    <cfRule type="duplicateValues" dxfId="38" priority="45"/>
    <cfRule type="duplicateValues" dxfId="37" priority="44"/>
  </conditionalFormatting>
  <conditionalFormatting sqref="F174">
    <cfRule type="duplicateValues" dxfId="36" priority="43"/>
    <cfRule type="duplicateValues" dxfId="35" priority="42"/>
    <cfRule type="duplicateValues" dxfId="34" priority="41"/>
  </conditionalFormatting>
  <conditionalFormatting sqref="F175">
    <cfRule type="duplicateValues" dxfId="33" priority="40"/>
    <cfRule type="duplicateValues" dxfId="32" priority="39"/>
    <cfRule type="duplicateValues" dxfId="31" priority="38"/>
  </conditionalFormatting>
  <conditionalFormatting sqref="F176">
    <cfRule type="duplicateValues" dxfId="30" priority="33"/>
    <cfRule type="duplicateValues" dxfId="29" priority="32"/>
    <cfRule type="duplicateValues" dxfId="28" priority="34"/>
  </conditionalFormatting>
  <conditionalFormatting sqref="F177">
    <cfRule type="duplicateValues" dxfId="27" priority="29"/>
    <cfRule type="duplicateValues" dxfId="26" priority="31"/>
    <cfRule type="duplicateValues" dxfId="25" priority="30"/>
  </conditionalFormatting>
  <conditionalFormatting sqref="F178">
    <cfRule type="duplicateValues" dxfId="24" priority="26"/>
    <cfRule type="duplicateValues" dxfId="23" priority="27"/>
    <cfRule type="duplicateValues" dxfId="22" priority="28"/>
  </conditionalFormatting>
  <conditionalFormatting sqref="F179">
    <cfRule type="duplicateValues" dxfId="21" priority="16"/>
    <cfRule type="duplicateValues" dxfId="20" priority="15"/>
    <cfRule type="duplicateValues" dxfId="19" priority="14"/>
  </conditionalFormatting>
  <conditionalFormatting sqref="F181">
    <cfRule type="duplicateValues" dxfId="18" priority="19"/>
    <cfRule type="duplicateValues" dxfId="17" priority="18"/>
    <cfRule type="duplicateValues" dxfId="16" priority="17"/>
  </conditionalFormatting>
  <conditionalFormatting sqref="F184">
    <cfRule type="duplicateValues" dxfId="15" priority="10"/>
    <cfRule type="duplicateValues" dxfId="14" priority="9"/>
  </conditionalFormatting>
  <conditionalFormatting sqref="F186">
    <cfRule type="duplicateValues" dxfId="13" priority="485"/>
    <cfRule type="duplicateValues" dxfId="12" priority="483"/>
    <cfRule type="duplicateValues" dxfId="11" priority="484"/>
  </conditionalFormatting>
  <conditionalFormatting sqref="F190">
    <cfRule type="duplicateValues" dxfId="10" priority="8"/>
    <cfRule type="duplicateValues" dxfId="9" priority="7"/>
  </conditionalFormatting>
  <conditionalFormatting sqref="F191">
    <cfRule type="duplicateValues" dxfId="8" priority="6"/>
    <cfRule type="duplicateValues" dxfId="7" priority="5"/>
  </conditionalFormatting>
  <conditionalFormatting sqref="F192">
    <cfRule type="duplicateValues" dxfId="6" priority="4"/>
    <cfRule type="duplicateValues" dxfId="5" priority="3"/>
  </conditionalFormatting>
  <conditionalFormatting sqref="F193">
    <cfRule type="duplicateValues" dxfId="4" priority="25"/>
    <cfRule type="duplicateValues" dxfId="3" priority="24"/>
    <cfRule type="duplicateValues" dxfId="2" priority="23"/>
  </conditionalFormatting>
  <conditionalFormatting sqref="F194">
    <cfRule type="duplicateValues" dxfId="1" priority="2"/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GOLD</vt:lpstr>
      <vt:lpstr>SILVER</vt:lpstr>
      <vt:lpstr>REGULER</vt:lpstr>
      <vt:lpstr>REKENING KORAN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 320</dc:creator>
  <cp:lastModifiedBy>HP-USER</cp:lastModifiedBy>
  <dcterms:created xsi:type="dcterms:W3CDTF">2026-07-31T08:10:39Z</dcterms:created>
  <dcterms:modified xsi:type="dcterms:W3CDTF">2026-08-15T04:49:57Z</dcterms:modified>
</cp:coreProperties>
</file>